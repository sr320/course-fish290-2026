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tornabene/Dropbox/Fish 290 2023/"/>
    </mc:Choice>
  </mc:AlternateContent>
  <xr:revisionPtr revIDLastSave="0" documentId="8_{4181681D-AA30-8B41-A710-05664D9B2A04}" xr6:coauthVersionLast="47" xr6:coauthVersionMax="47" xr10:uidLastSave="{00000000-0000-0000-0000-000000000000}"/>
  <bookViews>
    <workbookView xWindow="15740" yWindow="7320" windowWidth="34040" windowHeight="19760" activeTab="7" xr2:uid="{00000000-000D-0000-FFFF-FFFF00000000}"/>
  </bookViews>
  <sheets>
    <sheet name="Anglerfish data" sheetId="6" r:id="rId1"/>
    <sheet name="Angler_Linear_Regression" sheetId="2" r:id="rId2"/>
    <sheet name="regression results" sheetId="15" r:id="rId3"/>
    <sheet name="Angler_T_Test" sheetId="8" r:id="rId4"/>
    <sheet name="t-test results" sheetId="14" r:id="rId5"/>
    <sheet name="Angler ANOVA" sheetId="7" r:id="rId6"/>
    <sheet name=" Angler anova results" sheetId="16" r:id="rId7"/>
    <sheet name="Kruskal_Wallis" sheetId="13" r:id="rId8"/>
  </sheets>
  <definedNames>
    <definedName name="_xlchart.v1.0" hidden="1">Angler_T_Test!$C$102:$C$200</definedName>
    <definedName name="_xlchart.v1.1" hidden="1">Angler_T_Test!$C$2:$C$101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3" l="1"/>
  <c r="K21" i="13"/>
  <c r="K20" i="13"/>
  <c r="J20" i="13"/>
  <c r="I20" i="13"/>
  <c r="K19" i="13"/>
  <c r="J19" i="13"/>
  <c r="I19" i="13"/>
  <c r="K18" i="13"/>
  <c r="J18" i="13"/>
  <c r="I18" i="13"/>
  <c r="K17" i="13"/>
  <c r="J17" i="13"/>
  <c r="I17" i="13"/>
  <c r="K16" i="13"/>
  <c r="J16" i="13"/>
  <c r="I16" i="13"/>
  <c r="K15" i="13"/>
  <c r="J15" i="13"/>
  <c r="I15" i="13"/>
  <c r="K14" i="13"/>
  <c r="J14" i="13"/>
  <c r="I14" i="13"/>
  <c r="K22" i="13" l="1"/>
  <c r="K24" i="13" s="1"/>
  <c r="I22" i="13"/>
  <c r="L22" i="13" s="1"/>
  <c r="J22" i="13"/>
  <c r="J24" i="13" s="1"/>
  <c r="I24" i="13"/>
  <c r="L24" i="13" s="1"/>
  <c r="L25" i="13" s="1"/>
  <c r="L27" i="13" s="1"/>
</calcChain>
</file>

<file path=xl/sharedStrings.xml><?xml version="1.0" encoding="utf-8"?>
<sst xmlns="http://schemas.openxmlformats.org/spreadsheetml/2006/main" count="1541" uniqueCount="100">
  <si>
    <t>Species</t>
  </si>
  <si>
    <t>viperfish</t>
  </si>
  <si>
    <t>fangtooth</t>
  </si>
  <si>
    <t>Fork Length</t>
  </si>
  <si>
    <t>substrate size (cm)</t>
  </si>
  <si>
    <t>Depth (m)</t>
  </si>
  <si>
    <t>Fork Length (cm)</t>
  </si>
  <si>
    <t>site</t>
  </si>
  <si>
    <t>coast</t>
  </si>
  <si>
    <t>Bay</t>
  </si>
  <si>
    <t>shelf</t>
  </si>
  <si>
    <t>Question: Are there differences in fangtooth lengths at each different site?</t>
  </si>
  <si>
    <t>Coast</t>
  </si>
  <si>
    <t>Shelf</t>
  </si>
  <si>
    <t>Question: Are there depth differences between the two species of angler?</t>
  </si>
  <si>
    <t>Question: Is there a relationship between length and depth for each species?</t>
  </si>
  <si>
    <t>Reef type</t>
  </si>
  <si>
    <t>Degredation (1 to 5, untouched to destroyed)</t>
  </si>
  <si>
    <t>Study 1</t>
  </si>
  <si>
    <t>Lagoon</t>
  </si>
  <si>
    <t>Reorder Your Data</t>
  </si>
  <si>
    <t>Fringing</t>
  </si>
  <si>
    <t>Deep</t>
  </si>
  <si>
    <t>Study 2</t>
  </si>
  <si>
    <t>Study 3</t>
  </si>
  <si>
    <t>Study 4</t>
  </si>
  <si>
    <t>Study 5</t>
  </si>
  <si>
    <t>Study 6</t>
  </si>
  <si>
    <t>Study 7</t>
  </si>
  <si>
    <t>Study 8</t>
  </si>
  <si>
    <t>Study 9</t>
  </si>
  <si>
    <t>Study 10</t>
  </si>
  <si>
    <t>Study 11</t>
  </si>
  <si>
    <t>Study 12</t>
  </si>
  <si>
    <t>Rank Your Data</t>
  </si>
  <si>
    <t>Study 13</t>
  </si>
  <si>
    <t>Study 14</t>
  </si>
  <si>
    <t>Study 15</t>
  </si>
  <si>
    <t>Study 16</t>
  </si>
  <si>
    <t>Study 17</t>
  </si>
  <si>
    <t>Study 18</t>
  </si>
  <si>
    <t>Study 19</t>
  </si>
  <si>
    <t>Study 20</t>
  </si>
  <si>
    <t>Study 21</t>
  </si>
  <si>
    <t>R (sum of ranks)</t>
  </si>
  <si>
    <t>Study 22</t>
  </si>
  <si>
    <t>n (sample size)</t>
  </si>
  <si>
    <t>R^2 / n</t>
  </si>
  <si>
    <t>H</t>
  </si>
  <si>
    <t>df (categories -1)</t>
  </si>
  <si>
    <t>p</t>
  </si>
  <si>
    <t>a</t>
  </si>
  <si>
    <t>Question:</t>
  </si>
  <si>
    <t>Is the level of degredation worse on different zones of the reef?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</si>
  <si>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</si>
  <si>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</si>
  <si>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</si>
  <si>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</si>
  <si>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</si>
  <si>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</si>
  <si>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</si>
  <si>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</si>
  <si>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</si>
  <si>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</si>
  <si>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</si>
  <si>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</si>
  <si>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</si>
  <si>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</si>
  <si>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</si>
  <si>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</si>
  <si>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</si>
  <si>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</si>
  <si>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</si>
  <si>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</si>
  <si>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</si>
  <si>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</si>
  <si>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</si>
  <si>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</si>
  <si>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</si>
  <si>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</si>
  <si>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</si>
  <si>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</si>
  <si>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</si>
  <si>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</si>
  <si>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</si>
  <si>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</si>
  <si>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</si>
  <si>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</si>
  <si>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</si>
  <si>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X Variable 1</t>
  </si>
  <si>
    <t>Anova: Single Factor</t>
  </si>
  <si>
    <t>SUMMARY</t>
  </si>
  <si>
    <t>Groups</t>
  </si>
  <si>
    <t>Count</t>
  </si>
  <si>
    <t>Sum</t>
  </si>
  <si>
    <t>Average</t>
  </si>
  <si>
    <t>Source of Variation</t>
  </si>
  <si>
    <t>F crit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</si>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</sst>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Length and Depth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Angler_Linear_Regression!$A$2</c:f>
              <c:strCache>
                <c:ptCount val="1"/>
                <c:pt idx="0">
                  <c:v>fangtooth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4.8759842519685043E-2"/>
                  <c:y val="-8.1052055993000874E-2"/>
                </c:manualLayout>
              </c:layout>
              <c:numFmt formatCode="General" sourceLinked="0"/>
            </c:trendlineLbl>
          </c:trendline>
          <c:xVal>
            <c:numRef>
              <c:f>Angler_Linear_Regression!$B$2:$B$101</c:f>
              <c:numCache>
                <c:formatCode>0</c:formatCode>
                <c:ptCount val="100"/>
                <c:pt idx="0">
                  <c:v>725</c:v>
                </c:pt>
                <c:pt idx="1">
                  <c:v>487</c:v>
                </c:pt>
                <c:pt idx="2">
                  <c:v>710</c:v>
                </c:pt>
                <c:pt idx="3">
                  <c:v>647</c:v>
                </c:pt>
                <c:pt idx="4">
                  <c:v>402</c:v>
                </c:pt>
                <c:pt idx="5">
                  <c:v>696</c:v>
                </c:pt>
                <c:pt idx="6">
                  <c:v>418</c:v>
                </c:pt>
                <c:pt idx="7">
                  <c:v>718</c:v>
                </c:pt>
                <c:pt idx="8">
                  <c:v>523</c:v>
                </c:pt>
                <c:pt idx="9">
                  <c:v>660</c:v>
                </c:pt>
                <c:pt idx="10">
                  <c:v>611</c:v>
                </c:pt>
                <c:pt idx="11">
                  <c:v>678</c:v>
                </c:pt>
                <c:pt idx="12">
                  <c:v>422</c:v>
                </c:pt>
                <c:pt idx="13">
                  <c:v>588</c:v>
                </c:pt>
                <c:pt idx="14">
                  <c:v>517</c:v>
                </c:pt>
                <c:pt idx="15">
                  <c:v>681</c:v>
                </c:pt>
                <c:pt idx="16">
                  <c:v>463</c:v>
                </c:pt>
                <c:pt idx="17">
                  <c:v>490</c:v>
                </c:pt>
                <c:pt idx="18">
                  <c:v>501</c:v>
                </c:pt>
                <c:pt idx="19">
                  <c:v>462</c:v>
                </c:pt>
                <c:pt idx="20">
                  <c:v>585</c:v>
                </c:pt>
                <c:pt idx="21">
                  <c:v>657</c:v>
                </c:pt>
                <c:pt idx="22">
                  <c:v>521</c:v>
                </c:pt>
                <c:pt idx="23">
                  <c:v>467</c:v>
                </c:pt>
                <c:pt idx="24">
                  <c:v>488</c:v>
                </c:pt>
                <c:pt idx="25">
                  <c:v>519</c:v>
                </c:pt>
                <c:pt idx="26">
                  <c:v>525</c:v>
                </c:pt>
                <c:pt idx="27">
                  <c:v>600</c:v>
                </c:pt>
                <c:pt idx="28">
                  <c:v>622</c:v>
                </c:pt>
                <c:pt idx="29">
                  <c:v>550</c:v>
                </c:pt>
                <c:pt idx="30">
                  <c:v>656</c:v>
                </c:pt>
                <c:pt idx="31">
                  <c:v>540</c:v>
                </c:pt>
                <c:pt idx="32">
                  <c:v>711</c:v>
                </c:pt>
                <c:pt idx="33">
                  <c:v>629</c:v>
                </c:pt>
                <c:pt idx="34">
                  <c:v>500</c:v>
                </c:pt>
                <c:pt idx="35">
                  <c:v>512</c:v>
                </c:pt>
                <c:pt idx="36">
                  <c:v>406</c:v>
                </c:pt>
                <c:pt idx="37">
                  <c:v>743</c:v>
                </c:pt>
                <c:pt idx="38">
                  <c:v>444</c:v>
                </c:pt>
                <c:pt idx="39">
                  <c:v>522</c:v>
                </c:pt>
                <c:pt idx="40">
                  <c:v>588</c:v>
                </c:pt>
                <c:pt idx="41">
                  <c:v>517</c:v>
                </c:pt>
                <c:pt idx="42">
                  <c:v>411</c:v>
                </c:pt>
                <c:pt idx="43">
                  <c:v>439</c:v>
                </c:pt>
                <c:pt idx="44">
                  <c:v>741</c:v>
                </c:pt>
                <c:pt idx="45">
                  <c:v>541</c:v>
                </c:pt>
                <c:pt idx="46">
                  <c:v>686</c:v>
                </c:pt>
                <c:pt idx="47">
                  <c:v>710</c:v>
                </c:pt>
                <c:pt idx="48">
                  <c:v>634</c:v>
                </c:pt>
                <c:pt idx="49">
                  <c:v>566</c:v>
                </c:pt>
                <c:pt idx="50">
                  <c:v>695</c:v>
                </c:pt>
                <c:pt idx="51">
                  <c:v>726</c:v>
                </c:pt>
                <c:pt idx="52">
                  <c:v>434</c:v>
                </c:pt>
                <c:pt idx="53">
                  <c:v>581</c:v>
                </c:pt>
                <c:pt idx="54">
                  <c:v>733</c:v>
                </c:pt>
                <c:pt idx="55">
                  <c:v>719</c:v>
                </c:pt>
                <c:pt idx="56">
                  <c:v>497</c:v>
                </c:pt>
                <c:pt idx="57">
                  <c:v>728</c:v>
                </c:pt>
                <c:pt idx="58">
                  <c:v>634</c:v>
                </c:pt>
                <c:pt idx="59">
                  <c:v>728</c:v>
                </c:pt>
                <c:pt idx="60">
                  <c:v>647</c:v>
                </c:pt>
                <c:pt idx="61">
                  <c:v>623</c:v>
                </c:pt>
                <c:pt idx="62">
                  <c:v>497</c:v>
                </c:pt>
                <c:pt idx="63">
                  <c:v>530</c:v>
                </c:pt>
                <c:pt idx="64">
                  <c:v>499</c:v>
                </c:pt>
                <c:pt idx="65">
                  <c:v>605</c:v>
                </c:pt>
                <c:pt idx="66">
                  <c:v>582</c:v>
                </c:pt>
                <c:pt idx="67">
                  <c:v>649</c:v>
                </c:pt>
                <c:pt idx="68">
                  <c:v>596</c:v>
                </c:pt>
                <c:pt idx="69">
                  <c:v>619</c:v>
                </c:pt>
                <c:pt idx="70">
                  <c:v>725</c:v>
                </c:pt>
                <c:pt idx="71">
                  <c:v>533</c:v>
                </c:pt>
                <c:pt idx="72">
                  <c:v>662</c:v>
                </c:pt>
                <c:pt idx="73">
                  <c:v>585</c:v>
                </c:pt>
                <c:pt idx="74">
                  <c:v>672</c:v>
                </c:pt>
                <c:pt idx="75">
                  <c:v>632</c:v>
                </c:pt>
                <c:pt idx="76">
                  <c:v>651</c:v>
                </c:pt>
                <c:pt idx="77">
                  <c:v>669</c:v>
                </c:pt>
                <c:pt idx="78">
                  <c:v>654</c:v>
                </c:pt>
                <c:pt idx="79">
                  <c:v>552</c:v>
                </c:pt>
                <c:pt idx="80">
                  <c:v>440</c:v>
                </c:pt>
                <c:pt idx="81">
                  <c:v>505</c:v>
                </c:pt>
                <c:pt idx="82">
                  <c:v>717</c:v>
                </c:pt>
                <c:pt idx="83">
                  <c:v>489</c:v>
                </c:pt>
                <c:pt idx="84">
                  <c:v>600</c:v>
                </c:pt>
                <c:pt idx="85">
                  <c:v>529</c:v>
                </c:pt>
                <c:pt idx="86">
                  <c:v>570</c:v>
                </c:pt>
                <c:pt idx="87">
                  <c:v>473</c:v>
                </c:pt>
                <c:pt idx="88">
                  <c:v>588</c:v>
                </c:pt>
                <c:pt idx="89">
                  <c:v>520</c:v>
                </c:pt>
                <c:pt idx="90">
                  <c:v>558</c:v>
                </c:pt>
                <c:pt idx="91">
                  <c:v>637</c:v>
                </c:pt>
                <c:pt idx="92">
                  <c:v>509</c:v>
                </c:pt>
                <c:pt idx="93">
                  <c:v>538</c:v>
                </c:pt>
                <c:pt idx="94">
                  <c:v>691</c:v>
                </c:pt>
                <c:pt idx="95">
                  <c:v>688</c:v>
                </c:pt>
                <c:pt idx="96">
                  <c:v>465</c:v>
                </c:pt>
                <c:pt idx="97">
                  <c:v>715</c:v>
                </c:pt>
                <c:pt idx="98">
                  <c:v>514</c:v>
                </c:pt>
                <c:pt idx="99">
                  <c:v>664</c:v>
                </c:pt>
              </c:numCache>
            </c:numRef>
          </c:xVal>
          <c:yVal>
            <c:numRef>
              <c:f>Angler_Linear_Regression!$C$2:$C$101</c:f>
              <c:numCache>
                <c:formatCode>0</c:formatCode>
                <c:ptCount val="100"/>
                <c:pt idx="0">
                  <c:v>1.0040563252193202</c:v>
                </c:pt>
                <c:pt idx="1">
                  <c:v>20.272206997406297</c:v>
                </c:pt>
                <c:pt idx="2">
                  <c:v>18.476064673997595</c:v>
                </c:pt>
                <c:pt idx="3">
                  <c:v>31.725475744212595</c:v>
                </c:pt>
                <c:pt idx="4">
                  <c:v>9.2195867465189743</c:v>
                </c:pt>
                <c:pt idx="5">
                  <c:v>11.949322295415838</c:v>
                </c:pt>
                <c:pt idx="6">
                  <c:v>25.855925805472172</c:v>
                </c:pt>
                <c:pt idx="7">
                  <c:v>9.9004647250945688</c:v>
                </c:pt>
                <c:pt idx="8">
                  <c:v>19.197848875627077</c:v>
                </c:pt>
                <c:pt idx="9">
                  <c:v>15.95089374540351</c:v>
                </c:pt>
                <c:pt idx="10">
                  <c:v>19.112449828146644</c:v>
                </c:pt>
                <c:pt idx="11">
                  <c:v>23.484551252781124</c:v>
                </c:pt>
                <c:pt idx="12">
                  <c:v>12.287693283858466</c:v>
                </c:pt>
                <c:pt idx="13">
                  <c:v>15.244263894126224</c:v>
                </c:pt>
                <c:pt idx="14">
                  <c:v>10.682359101516475</c:v>
                </c:pt>
                <c:pt idx="15">
                  <c:v>16.98271445720281</c:v>
                </c:pt>
                <c:pt idx="16">
                  <c:v>18.996537794561679</c:v>
                </c:pt>
                <c:pt idx="17">
                  <c:v>38.811849135012764</c:v>
                </c:pt>
                <c:pt idx="18">
                  <c:v>23.882117199678543</c:v>
                </c:pt>
                <c:pt idx="19">
                  <c:v>20.6939774008416</c:v>
                </c:pt>
                <c:pt idx="20">
                  <c:v>38.726924572015683</c:v>
                </c:pt>
                <c:pt idx="21">
                  <c:v>14.57542234479579</c:v>
                </c:pt>
                <c:pt idx="22">
                  <c:v>24.371666838929755</c:v>
                </c:pt>
                <c:pt idx="23">
                  <c:v>38.690373855082456</c:v>
                </c:pt>
                <c:pt idx="24">
                  <c:v>24.052337174151312</c:v>
                </c:pt>
                <c:pt idx="25">
                  <c:v>37.956341767898451</c:v>
                </c:pt>
                <c:pt idx="26">
                  <c:v>27.564492911809687</c:v>
                </c:pt>
                <c:pt idx="27">
                  <c:v>35.631001749204408</c:v>
                </c:pt>
                <c:pt idx="28">
                  <c:v>44.437735426730526</c:v>
                </c:pt>
                <c:pt idx="29">
                  <c:v>37.38374221544516</c:v>
                </c:pt>
                <c:pt idx="30">
                  <c:v>18.980515724563489</c:v>
                </c:pt>
                <c:pt idx="31">
                  <c:v>11.195706370618414</c:v>
                </c:pt>
                <c:pt idx="32">
                  <c:v>38.621036191807072</c:v>
                </c:pt>
                <c:pt idx="33">
                  <c:v>43.452015824627786</c:v>
                </c:pt>
                <c:pt idx="34">
                  <c:v>47.767118349852808</c:v>
                </c:pt>
                <c:pt idx="35">
                  <c:v>19.247612953550522</c:v>
                </c:pt>
                <c:pt idx="36">
                  <c:v>44.477629976002106</c:v>
                </c:pt>
                <c:pt idx="37">
                  <c:v>48.988771255021675</c:v>
                </c:pt>
                <c:pt idx="38">
                  <c:v>48.157830034232362</c:v>
                </c:pt>
                <c:pt idx="39">
                  <c:v>5.5746174672504676</c:v>
                </c:pt>
                <c:pt idx="40">
                  <c:v>30.862387042417112</c:v>
                </c:pt>
                <c:pt idx="41">
                  <c:v>50.814757912389581</c:v>
                </c:pt>
                <c:pt idx="42">
                  <c:v>32.282642130055741</c:v>
                </c:pt>
                <c:pt idx="43">
                  <c:v>24.127429098634373</c:v>
                </c:pt>
                <c:pt idx="44">
                  <c:v>11.682544893849441</c:v>
                </c:pt>
                <c:pt idx="45">
                  <c:v>41.763496646548155</c:v>
                </c:pt>
                <c:pt idx="46">
                  <c:v>18.976571474550653</c:v>
                </c:pt>
                <c:pt idx="47">
                  <c:v>51.000844390452855</c:v>
                </c:pt>
                <c:pt idx="48">
                  <c:v>58.816273292149894</c:v>
                </c:pt>
                <c:pt idx="49">
                  <c:v>39.483634978900156</c:v>
                </c:pt>
                <c:pt idx="50">
                  <c:v>37.73299139272148</c:v>
                </c:pt>
                <c:pt idx="51">
                  <c:v>25.248305211975364</c:v>
                </c:pt>
                <c:pt idx="52">
                  <c:v>31.868885748495728</c:v>
                </c:pt>
                <c:pt idx="53">
                  <c:v>29.94563003203298</c:v>
                </c:pt>
                <c:pt idx="54">
                  <c:v>25.199544314031471</c:v>
                </c:pt>
                <c:pt idx="55">
                  <c:v>47.997719505009364</c:v>
                </c:pt>
                <c:pt idx="56">
                  <c:v>57.570114063967139</c:v>
                </c:pt>
                <c:pt idx="57">
                  <c:v>40.85920308460102</c:v>
                </c:pt>
                <c:pt idx="58">
                  <c:v>42.325692966706015</c:v>
                </c:pt>
                <c:pt idx="59">
                  <c:v>47.028425728896011</c:v>
                </c:pt>
                <c:pt idx="60">
                  <c:v>28.580703040367851</c:v>
                </c:pt>
                <c:pt idx="61">
                  <c:v>21.243402054727127</c:v>
                </c:pt>
                <c:pt idx="62">
                  <c:v>27.329414981251254</c:v>
                </c:pt>
                <c:pt idx="63">
                  <c:v>52.913943168603566</c:v>
                </c:pt>
                <c:pt idx="64">
                  <c:v>19.058992254303561</c:v>
                </c:pt>
                <c:pt idx="65">
                  <c:v>14.206341799162939</c:v>
                </c:pt>
                <c:pt idx="66">
                  <c:v>10.551984245559298</c:v>
                </c:pt>
                <c:pt idx="67">
                  <c:v>38.624573779226239</c:v>
                </c:pt>
                <c:pt idx="68">
                  <c:v>48.173159136872172</c:v>
                </c:pt>
                <c:pt idx="69">
                  <c:v>41.798384205218987</c:v>
                </c:pt>
                <c:pt idx="70">
                  <c:v>19.006873129181113</c:v>
                </c:pt>
                <c:pt idx="71">
                  <c:v>61.686332385483666</c:v>
                </c:pt>
                <c:pt idx="72">
                  <c:v>37.116204389551505</c:v>
                </c:pt>
                <c:pt idx="73">
                  <c:v>19.817799566500206</c:v>
                </c:pt>
                <c:pt idx="74">
                  <c:v>3.8127655338690105</c:v>
                </c:pt>
                <c:pt idx="75">
                  <c:v>57.393192536686186</c:v>
                </c:pt>
                <c:pt idx="76">
                  <c:v>33.221378031319475</c:v>
                </c:pt>
                <c:pt idx="77">
                  <c:v>36.378518438341757</c:v>
                </c:pt>
                <c:pt idx="78">
                  <c:v>52.479857161058852</c:v>
                </c:pt>
                <c:pt idx="79">
                  <c:v>20.866554833320166</c:v>
                </c:pt>
                <c:pt idx="80">
                  <c:v>24.422081799964893</c:v>
                </c:pt>
                <c:pt idx="81">
                  <c:v>51.405162316976231</c:v>
                </c:pt>
                <c:pt idx="82">
                  <c:v>29.821653858900174</c:v>
                </c:pt>
                <c:pt idx="83">
                  <c:v>17.839401760845753</c:v>
                </c:pt>
                <c:pt idx="84">
                  <c:v>74.266467412380024</c:v>
                </c:pt>
                <c:pt idx="85">
                  <c:v>27.970560029258543</c:v>
                </c:pt>
                <c:pt idx="86">
                  <c:v>26.996070180433321</c:v>
                </c:pt>
                <c:pt idx="87">
                  <c:v>41.73602250180236</c:v>
                </c:pt>
                <c:pt idx="88">
                  <c:v>59.632587443923768</c:v>
                </c:pt>
                <c:pt idx="89">
                  <c:v>61.319476522790609</c:v>
                </c:pt>
                <c:pt idx="90">
                  <c:v>53.976736877789278</c:v>
                </c:pt>
                <c:pt idx="91">
                  <c:v>3.2624698630510629</c:v>
                </c:pt>
                <c:pt idx="92">
                  <c:v>26.405643687222508</c:v>
                </c:pt>
                <c:pt idx="93">
                  <c:v>9.8519945592716685</c:v>
                </c:pt>
                <c:pt idx="94">
                  <c:v>59.919012378528294</c:v>
                </c:pt>
                <c:pt idx="95">
                  <c:v>57.759510219898488</c:v>
                </c:pt>
                <c:pt idx="96">
                  <c:v>8.83244812854457</c:v>
                </c:pt>
                <c:pt idx="97">
                  <c:v>44.463836482985123</c:v>
                </c:pt>
                <c:pt idx="98">
                  <c:v>40.266660537956326</c:v>
                </c:pt>
                <c:pt idx="99">
                  <c:v>15.597929920611183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EB-A642-8BDB-E5850EFAEF6F}"/>
            </c:ext>
          </c:extLst>
        </c:ser>
        <c:ser>
          <c:idx val="1"/>
          <c:order val="1"/>
          <c:tx>
            <c:strRef>
              <c:f>Angler_Linear_Regression!$A$102</c:f>
              <c:strCache>
                <c:ptCount val="1"/>
                <c:pt idx="0">
                  <c:v>viperfish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20502340332458444"/>
                  <c:y val="-0.1317782152230971"/>
                </c:manualLayout>
              </c:layout>
              <c:numFmt formatCode="General" sourceLinked="0"/>
            </c:trendlineLbl>
          </c:trendline>
          <c:xVal>
            <c:numRef>
              <c:f>Angler_Linear_Regression!$B$102:$B$200</c:f>
              <c:numCache>
                <c:formatCode>0</c:formatCode>
                <c:ptCount val="99"/>
                <c:pt idx="0">
                  <c:v>312.4148868836362</c:v>
                </c:pt>
                <c:pt idx="1">
                  <c:v>382.58929725925208</c:v>
                </c:pt>
                <c:pt idx="2">
                  <c:v>381.46251063904202</c:v>
                </c:pt>
                <c:pt idx="3">
                  <c:v>300.88550154356443</c:v>
                </c:pt>
                <c:pt idx="4">
                  <c:v>446.71165824494221</c:v>
                </c:pt>
                <c:pt idx="5">
                  <c:v>475.81161269564456</c:v>
                </c:pt>
                <c:pt idx="6">
                  <c:v>322.57918493938348</c:v>
                </c:pt>
                <c:pt idx="7">
                  <c:v>524.17362263015593</c:v>
                </c:pt>
                <c:pt idx="8">
                  <c:v>147.21816294716075</c:v>
                </c:pt>
                <c:pt idx="9">
                  <c:v>128.07496039074087</c:v>
                </c:pt>
                <c:pt idx="10">
                  <c:v>462.28844378887692</c:v>
                </c:pt>
                <c:pt idx="11">
                  <c:v>516.98131155025351</c:v>
                </c:pt>
                <c:pt idx="12">
                  <c:v>489.36853247559134</c:v>
                </c:pt>
                <c:pt idx="13">
                  <c:v>256.10329277461022</c:v>
                </c:pt>
                <c:pt idx="14">
                  <c:v>597.2599975362491</c:v>
                </c:pt>
                <c:pt idx="15">
                  <c:v>472.71621928457188</c:v>
                </c:pt>
                <c:pt idx="16">
                  <c:v>204.68808208834622</c:v>
                </c:pt>
                <c:pt idx="17">
                  <c:v>266.95746124503063</c:v>
                </c:pt>
                <c:pt idx="18">
                  <c:v>247.6062546062069</c:v>
                </c:pt>
                <c:pt idx="19">
                  <c:v>404.25632439154214</c:v>
                </c:pt>
                <c:pt idx="20">
                  <c:v>445.62224424750588</c:v>
                </c:pt>
                <c:pt idx="21">
                  <c:v>416.37622069969984</c:v>
                </c:pt>
                <c:pt idx="22">
                  <c:v>396.91680935138777</c:v>
                </c:pt>
                <c:pt idx="23">
                  <c:v>493.34609628961039</c:v>
                </c:pt>
                <c:pt idx="24">
                  <c:v>593.83684364133649</c:v>
                </c:pt>
                <c:pt idx="25">
                  <c:v>371.79686689030189</c:v>
                </c:pt>
                <c:pt idx="26">
                  <c:v>509.81836155110227</c:v>
                </c:pt>
                <c:pt idx="27">
                  <c:v>298.007625725352</c:v>
                </c:pt>
                <c:pt idx="28">
                  <c:v>144.04323770999108</c:v>
                </c:pt>
                <c:pt idx="29">
                  <c:v>282.43601807711093</c:v>
                </c:pt>
                <c:pt idx="30">
                  <c:v>296.93209036635221</c:v>
                </c:pt>
                <c:pt idx="31">
                  <c:v>398.30697327369228</c:v>
                </c:pt>
                <c:pt idx="32">
                  <c:v>207.91433992214962</c:v>
                </c:pt>
                <c:pt idx="33">
                  <c:v>193.64232201087373</c:v>
                </c:pt>
                <c:pt idx="34">
                  <c:v>250.43956526936287</c:v>
                </c:pt>
                <c:pt idx="35">
                  <c:v>256.19054462430711</c:v>
                </c:pt>
                <c:pt idx="36">
                  <c:v>574.00160624875116</c:v>
                </c:pt>
                <c:pt idx="37">
                  <c:v>176.90202904098919</c:v>
                </c:pt>
                <c:pt idx="38">
                  <c:v>460.99670066358283</c:v>
                </c:pt>
                <c:pt idx="39">
                  <c:v>528.70946425492207</c:v>
                </c:pt>
                <c:pt idx="40">
                  <c:v>156.27557979779073</c:v>
                </c:pt>
                <c:pt idx="41">
                  <c:v>240.61396028538599</c:v>
                </c:pt>
                <c:pt idx="42">
                  <c:v>465.80937214220734</c:v>
                </c:pt>
                <c:pt idx="43">
                  <c:v>161.00343165622712</c:v>
                </c:pt>
                <c:pt idx="44">
                  <c:v>210.86062600710591</c:v>
                </c:pt>
                <c:pt idx="45">
                  <c:v>348.10398731642283</c:v>
                </c:pt>
                <c:pt idx="46">
                  <c:v>241.97277762287763</c:v>
                </c:pt>
                <c:pt idx="47">
                  <c:v>355.91432114361453</c:v>
                </c:pt>
                <c:pt idx="48">
                  <c:v>296.60677529877171</c:v>
                </c:pt>
                <c:pt idx="49">
                  <c:v>554.72551510774338</c:v>
                </c:pt>
                <c:pt idx="50">
                  <c:v>254.86355200743296</c:v>
                </c:pt>
                <c:pt idx="51">
                  <c:v>159.11735461063182</c:v>
                </c:pt>
                <c:pt idx="52">
                  <c:v>280.65138491723417</c:v>
                </c:pt>
                <c:pt idx="53">
                  <c:v>470.70978763459226</c:v>
                </c:pt>
                <c:pt idx="54">
                  <c:v>137.21908178132693</c:v>
                </c:pt>
                <c:pt idx="55">
                  <c:v>581.37450962319576</c:v>
                </c:pt>
                <c:pt idx="56">
                  <c:v>346.65412603924915</c:v>
                </c:pt>
                <c:pt idx="57">
                  <c:v>594.37405498380303</c:v>
                </c:pt>
                <c:pt idx="58">
                  <c:v>190.74038942751673</c:v>
                </c:pt>
                <c:pt idx="59">
                  <c:v>240.87403435206102</c:v>
                </c:pt>
                <c:pt idx="60">
                  <c:v>139.10987328868566</c:v>
                </c:pt>
                <c:pt idx="61">
                  <c:v>238.99778016979246</c:v>
                </c:pt>
                <c:pt idx="62">
                  <c:v>542.41681863382973</c:v>
                </c:pt>
                <c:pt idx="63">
                  <c:v>321.72775038616697</c:v>
                </c:pt>
                <c:pt idx="64">
                  <c:v>449.68327387510942</c:v>
                </c:pt>
                <c:pt idx="65">
                  <c:v>360.61780039100944</c:v>
                </c:pt>
                <c:pt idx="66">
                  <c:v>103.63818426664841</c:v>
                </c:pt>
                <c:pt idx="67">
                  <c:v>340.22884912052109</c:v>
                </c:pt>
                <c:pt idx="68">
                  <c:v>593.80392050738476</c:v>
                </c:pt>
                <c:pt idx="69">
                  <c:v>123.90882773082481</c:v>
                </c:pt>
                <c:pt idx="70">
                  <c:v>148.5195798620195</c:v>
                </c:pt>
                <c:pt idx="71">
                  <c:v>280.25570053448894</c:v>
                </c:pt>
                <c:pt idx="72">
                  <c:v>438.30909338167083</c:v>
                </c:pt>
                <c:pt idx="73">
                  <c:v>187.43662551051847</c:v>
                </c:pt>
                <c:pt idx="74">
                  <c:v>329.51448661510062</c:v>
                </c:pt>
                <c:pt idx="75">
                  <c:v>479.62238651442794</c:v>
                </c:pt>
                <c:pt idx="76">
                  <c:v>169.807514731965</c:v>
                </c:pt>
                <c:pt idx="77">
                  <c:v>185.02143232451533</c:v>
                </c:pt>
                <c:pt idx="78">
                  <c:v>440.77942360490988</c:v>
                </c:pt>
                <c:pt idx="79">
                  <c:v>157.04777143895433</c:v>
                </c:pt>
                <c:pt idx="80">
                  <c:v>464.73433692914978</c:v>
                </c:pt>
                <c:pt idx="81">
                  <c:v>155.00570234023661</c:v>
                </c:pt>
                <c:pt idx="82">
                  <c:v>312.37835037703644</c:v>
                </c:pt>
                <c:pt idx="83">
                  <c:v>137.93951062223533</c:v>
                </c:pt>
                <c:pt idx="84">
                  <c:v>322.67472451366223</c:v>
                </c:pt>
                <c:pt idx="85">
                  <c:v>474.57721371668697</c:v>
                </c:pt>
                <c:pt idx="86">
                  <c:v>554.69112075587122</c:v>
                </c:pt>
                <c:pt idx="87">
                  <c:v>405.13639638660447</c:v>
                </c:pt>
                <c:pt idx="88">
                  <c:v>213.05493715159008</c:v>
                </c:pt>
                <c:pt idx="89">
                  <c:v>107.81483006146277</c:v>
                </c:pt>
                <c:pt idx="90">
                  <c:v>180.58875122922382</c:v>
                </c:pt>
                <c:pt idx="91">
                  <c:v>155.27844177952002</c:v>
                </c:pt>
                <c:pt idx="92">
                  <c:v>112.58694625765999</c:v>
                </c:pt>
                <c:pt idx="93">
                  <c:v>155.94567311579834</c:v>
                </c:pt>
                <c:pt idx="94">
                  <c:v>467.19807385884451</c:v>
                </c:pt>
                <c:pt idx="95">
                  <c:v>351.09579628663869</c:v>
                </c:pt>
                <c:pt idx="96">
                  <c:v>375.61792855541444</c:v>
                </c:pt>
                <c:pt idx="97">
                  <c:v>295.62781928603823</c:v>
                </c:pt>
                <c:pt idx="98">
                  <c:v>362.90553411636921</c:v>
                </c:pt>
              </c:numCache>
            </c:numRef>
          </c:xVal>
          <c:yVal>
            <c:numRef>
              <c:f>Angler_Linear_Regression!$C$102:$C$200</c:f>
              <c:numCache>
                <c:formatCode>0</c:formatCode>
                <c:ptCount val="99"/>
                <c:pt idx="0">
                  <c:v>1.9930059214751994</c:v>
                </c:pt>
                <c:pt idx="1">
                  <c:v>3.3297889640963168</c:v>
                </c:pt>
                <c:pt idx="2">
                  <c:v>4.4366620634923777</c:v>
                </c:pt>
                <c:pt idx="3">
                  <c:v>4.1582551261373322</c:v>
                </c:pt>
                <c:pt idx="4">
                  <c:v>1.1945899125549331</c:v>
                </c:pt>
                <c:pt idx="5">
                  <c:v>4.0445744550345903</c:v>
                </c:pt>
                <c:pt idx="6">
                  <c:v>5.0566843030959685</c:v>
                </c:pt>
                <c:pt idx="7">
                  <c:v>2.1442826210537591</c:v>
                </c:pt>
                <c:pt idx="8">
                  <c:v>4.8830486416210324</c:v>
                </c:pt>
                <c:pt idx="9">
                  <c:v>3.8781023084625565</c:v>
                </c:pt>
                <c:pt idx="10">
                  <c:v>5.9672390671608966</c:v>
                </c:pt>
                <c:pt idx="11">
                  <c:v>5.0900418194332318</c:v>
                </c:pt>
                <c:pt idx="12">
                  <c:v>6.015989313468455</c:v>
                </c:pt>
                <c:pt idx="13">
                  <c:v>3.758342021957207</c:v>
                </c:pt>
                <c:pt idx="14">
                  <c:v>4.574191174116339</c:v>
                </c:pt>
                <c:pt idx="15">
                  <c:v>5.3030640826680022</c:v>
                </c:pt>
                <c:pt idx="16">
                  <c:v>8.8738115428332272</c:v>
                </c:pt>
                <c:pt idx="17">
                  <c:v>11.088174375093701</c:v>
                </c:pt>
                <c:pt idx="18">
                  <c:v>12.201898261787584</c:v>
                </c:pt>
                <c:pt idx="19">
                  <c:v>6.7312520778313356</c:v>
                </c:pt>
                <c:pt idx="20">
                  <c:v>3.2777633119288154</c:v>
                </c:pt>
                <c:pt idx="21">
                  <c:v>9.4483050692574473</c:v>
                </c:pt>
                <c:pt idx="22">
                  <c:v>6.8147873454815686</c:v>
                </c:pt>
                <c:pt idx="23">
                  <c:v>9.3229581877343417</c:v>
                </c:pt>
                <c:pt idx="24">
                  <c:v>9.0963428739869698</c:v>
                </c:pt>
                <c:pt idx="25">
                  <c:v>5.6264263415658853</c:v>
                </c:pt>
                <c:pt idx="26">
                  <c:v>2.4841385193358327</c:v>
                </c:pt>
                <c:pt idx="27">
                  <c:v>16.41115160991772</c:v>
                </c:pt>
                <c:pt idx="28">
                  <c:v>10.83171018941648</c:v>
                </c:pt>
                <c:pt idx="29">
                  <c:v>18.631202973836889</c:v>
                </c:pt>
                <c:pt idx="30">
                  <c:v>16.580143189923753</c:v>
                </c:pt>
                <c:pt idx="31">
                  <c:v>2.5423011045934363</c:v>
                </c:pt>
                <c:pt idx="32">
                  <c:v>18.066936178506342</c:v>
                </c:pt>
                <c:pt idx="33">
                  <c:v>9.3598334666635381</c:v>
                </c:pt>
                <c:pt idx="34">
                  <c:v>17.398939385857503</c:v>
                </c:pt>
                <c:pt idx="35">
                  <c:v>8.3396740519726738</c:v>
                </c:pt>
                <c:pt idx="36">
                  <c:v>8.3207453979203052</c:v>
                </c:pt>
                <c:pt idx="37">
                  <c:v>13.984950932630415</c:v>
                </c:pt>
                <c:pt idx="38">
                  <c:v>4.4507290422218126</c:v>
                </c:pt>
                <c:pt idx="39">
                  <c:v>13.170836704764065</c:v>
                </c:pt>
                <c:pt idx="40">
                  <c:v>21.349563228116036</c:v>
                </c:pt>
                <c:pt idx="41">
                  <c:v>20.940498903642006</c:v>
                </c:pt>
                <c:pt idx="42">
                  <c:v>21.536024418419821</c:v>
                </c:pt>
                <c:pt idx="43">
                  <c:v>25.210324453730916</c:v>
                </c:pt>
                <c:pt idx="44">
                  <c:v>21.792533503263662</c:v>
                </c:pt>
                <c:pt idx="45">
                  <c:v>24.868027091868356</c:v>
                </c:pt>
                <c:pt idx="46">
                  <c:v>9.8444499948018951</c:v>
                </c:pt>
                <c:pt idx="47">
                  <c:v>22.596297596018097</c:v>
                </c:pt>
                <c:pt idx="48">
                  <c:v>14.164284300248731</c:v>
                </c:pt>
                <c:pt idx="49">
                  <c:v>5.95488889870962</c:v>
                </c:pt>
                <c:pt idx="50">
                  <c:v>7.4571570487056462</c:v>
                </c:pt>
                <c:pt idx="51">
                  <c:v>19.165592708299926</c:v>
                </c:pt>
                <c:pt idx="52">
                  <c:v>11.685653522416199</c:v>
                </c:pt>
                <c:pt idx="53">
                  <c:v>15.227000414504113</c:v>
                </c:pt>
                <c:pt idx="54">
                  <c:v>15.01450103451274</c:v>
                </c:pt>
                <c:pt idx="55">
                  <c:v>8.3650421689360464</c:v>
                </c:pt>
                <c:pt idx="56">
                  <c:v>17.234142968261942</c:v>
                </c:pt>
                <c:pt idx="57">
                  <c:v>13.329099373167434</c:v>
                </c:pt>
                <c:pt idx="58">
                  <c:v>7.395667261053724</c:v>
                </c:pt>
                <c:pt idx="59">
                  <c:v>16.516903268076433</c:v>
                </c:pt>
                <c:pt idx="60">
                  <c:v>18.906887725792565</c:v>
                </c:pt>
                <c:pt idx="61">
                  <c:v>13.670207359842774</c:v>
                </c:pt>
                <c:pt idx="62">
                  <c:v>13.953181404053613</c:v>
                </c:pt>
                <c:pt idx="63">
                  <c:v>19.636676737707489</c:v>
                </c:pt>
                <c:pt idx="64">
                  <c:v>18.465329168438057</c:v>
                </c:pt>
                <c:pt idx="65">
                  <c:v>18.861616858974187</c:v>
                </c:pt>
                <c:pt idx="66">
                  <c:v>11.606475516882556</c:v>
                </c:pt>
                <c:pt idx="67">
                  <c:v>27.415097208967698</c:v>
                </c:pt>
                <c:pt idx="68">
                  <c:v>4.9295526129681395</c:v>
                </c:pt>
                <c:pt idx="69">
                  <c:v>25.377020442785984</c:v>
                </c:pt>
                <c:pt idx="70">
                  <c:v>42.353448575519892</c:v>
                </c:pt>
                <c:pt idx="71">
                  <c:v>35.096162981471522</c:v>
                </c:pt>
                <c:pt idx="72">
                  <c:v>17.19177726311986</c:v>
                </c:pt>
                <c:pt idx="73">
                  <c:v>14.54012909031011</c:v>
                </c:pt>
                <c:pt idx="74">
                  <c:v>26.485974994823231</c:v>
                </c:pt>
                <c:pt idx="75">
                  <c:v>23.9488385633835</c:v>
                </c:pt>
                <c:pt idx="76">
                  <c:v>24.41524425373245</c:v>
                </c:pt>
                <c:pt idx="77">
                  <c:v>36.464908976775803</c:v>
                </c:pt>
                <c:pt idx="78">
                  <c:v>20.003085935554108</c:v>
                </c:pt>
                <c:pt idx="79">
                  <c:v>23.933203592955689</c:v>
                </c:pt>
                <c:pt idx="80">
                  <c:v>25.730727082015676</c:v>
                </c:pt>
                <c:pt idx="81">
                  <c:v>19.986668169675241</c:v>
                </c:pt>
                <c:pt idx="82">
                  <c:v>36.300882794924661</c:v>
                </c:pt>
                <c:pt idx="83">
                  <c:v>29.304425917067558</c:v>
                </c:pt>
                <c:pt idx="84">
                  <c:v>23.417299922789436</c:v>
                </c:pt>
                <c:pt idx="85">
                  <c:v>25.558798907383693</c:v>
                </c:pt>
                <c:pt idx="86">
                  <c:v>49.337803800638838</c:v>
                </c:pt>
                <c:pt idx="87">
                  <c:v>19.044050984175371</c:v>
                </c:pt>
                <c:pt idx="88">
                  <c:v>33.476942296875279</c:v>
                </c:pt>
                <c:pt idx="89">
                  <c:v>24.238057357846223</c:v>
                </c:pt>
                <c:pt idx="90">
                  <c:v>26.275164320970209</c:v>
                </c:pt>
                <c:pt idx="91">
                  <c:v>23.519713634672868</c:v>
                </c:pt>
                <c:pt idx="92">
                  <c:v>14.031813185343001</c:v>
                </c:pt>
                <c:pt idx="93">
                  <c:v>17.060029167454374</c:v>
                </c:pt>
                <c:pt idx="94">
                  <c:v>14.303440809565661</c:v>
                </c:pt>
                <c:pt idx="95">
                  <c:v>15.155038680095377</c:v>
                </c:pt>
                <c:pt idx="96">
                  <c:v>28.848155750978506</c:v>
                </c:pt>
                <c:pt idx="97">
                  <c:v>7.8863264900009522</c:v>
                </c:pt>
                <c:pt idx="98">
                  <c:v>46.078536831342689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EB-A642-8BDB-E5850EFA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6848"/>
        <c:axId val="31097216"/>
      </c:scatterChart>
      <c:valAx>
        <c:axId val="3108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31097216"/>
        <c:crosses val="autoZero"/>
        <c:crossBetween val="midCat"/>
      </c:valAx>
      <c:valAx>
        <c:axId val="31097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Fish Length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31086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Viperfish and fangtooth substrate size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Lit>
              <c:ptCount val="1"/>
              <c:pt idx="0">
                <c:v>Species</c:v>
              </c:pt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30-494E-AD83-237638918439}"/>
            </c:ext>
          </c:extLst>
        </c:ser>
        <c:ser>
          <c:idx val="0"/>
          <c:order val="1"/>
          <c:invertIfNegative val="0"/>
          <c:cat>
            <c:strLit>
              <c:ptCount val="1"/>
              <c:pt idx="0">
                <c:v>Species</c:v>
              </c:pt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F30-494E-AD83-23763891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14688"/>
        <c:axId val="31316224"/>
      </c:barChart>
      <c:catAx>
        <c:axId val="313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316224"/>
        <c:crosses val="autoZero"/>
        <c:auto val="1"/>
        <c:lblAlgn val="ctr"/>
        <c:lblOffset val="100"/>
        <c:noMultiLvlLbl val="0"/>
      </c:catAx>
      <c:valAx>
        <c:axId val="31316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131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'Angler ANOVA'!$A$11</c:f>
              <c:strCache>
                <c:ptCount val="1"/>
                <c:pt idx="0">
                  <c:v>fangtooth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bg1">
                  <a:lumMod val="75000"/>
                </a:schemeClr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'Angler ANOVA'!$B$16:$D$16</c:f>
                <c:numCache>
                  <c:formatCode>General</c:formatCode>
                  <c:ptCount val="3"/>
                  <c:pt idx="0">
                    <c:v>61</c:v>
                  </c:pt>
                  <c:pt idx="1">
                    <c:v>459</c:v>
                  </c:pt>
                  <c:pt idx="2">
                    <c:v>25.448083025409009</c:v>
                  </c:pt>
                </c:numCache>
              </c:numRef>
            </c:plus>
            <c:minus>
              <c:numRef>
                <c:f>'Angler ANOVA'!$B$16:$D$16</c:f>
                <c:numCache>
                  <c:formatCode>General</c:formatCode>
                  <c:ptCount val="3"/>
                  <c:pt idx="0">
                    <c:v>61</c:v>
                  </c:pt>
                  <c:pt idx="1">
                    <c:v>459</c:v>
                  </c:pt>
                  <c:pt idx="2">
                    <c:v>25.448083025409009</c:v>
                  </c:pt>
                </c:numCache>
              </c:numRef>
            </c:minus>
          </c:errBars>
          <c:xVal>
            <c:numRef>
              <c:f>'Angler ANOVA'!$B$10:$D$10</c:f>
              <c:numCache>
                <c:formatCode>General</c:formatCode>
                <c:ptCount val="3"/>
                <c:pt idx="0">
                  <c:v>79</c:v>
                </c:pt>
                <c:pt idx="1">
                  <c:v>433</c:v>
                </c:pt>
                <c:pt idx="2" formatCode="0">
                  <c:v>20.492204273045331</c:v>
                </c:pt>
              </c:numCache>
            </c:numRef>
          </c:xVal>
          <c:yVal>
            <c:numRef>
              <c:f>'Angler ANOVA'!$B$11:$D$11</c:f>
              <c:numCache>
                <c:formatCode>General</c:formatCode>
                <c:ptCount val="3"/>
                <c:pt idx="0">
                  <c:v>80</c:v>
                </c:pt>
                <c:pt idx="1">
                  <c:v>438</c:v>
                </c:pt>
                <c:pt idx="2" formatCode="0">
                  <c:v>17.300326361356991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8-AB44-AAA2-B1191B94F0BC}"/>
            </c:ext>
          </c:extLst>
        </c:ser>
        <c:ser>
          <c:idx val="1"/>
          <c:order val="1"/>
          <c:tx>
            <c:strRef>
              <c:f>'Angler ANOVA'!$A$12</c:f>
              <c:strCache>
                <c:ptCount val="1"/>
                <c:pt idx="0">
                  <c:v>fangtooth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'Angler ANOVA'!$B$17:$D$17</c:f>
                <c:numCache>
                  <c:formatCode>General</c:formatCode>
                  <c:ptCount val="3"/>
                  <c:pt idx="0">
                    <c:v>43</c:v>
                  </c:pt>
                  <c:pt idx="1">
                    <c:v>463</c:v>
                  </c:pt>
                  <c:pt idx="2">
                    <c:v>23.524386494906807</c:v>
                  </c:pt>
                </c:numCache>
              </c:numRef>
            </c:plus>
            <c:minus>
              <c:numRef>
                <c:f>'Angler ANOVA'!$B$17:$D$17</c:f>
                <c:numCache>
                  <c:formatCode>General</c:formatCode>
                  <c:ptCount val="3"/>
                  <c:pt idx="0">
                    <c:v>43</c:v>
                  </c:pt>
                  <c:pt idx="1">
                    <c:v>463</c:v>
                  </c:pt>
                  <c:pt idx="2">
                    <c:v>23.524386494906807</c:v>
                  </c:pt>
                </c:numCache>
              </c:numRef>
            </c:minus>
          </c:errBars>
          <c:xVal>
            <c:numRef>
              <c:f>'Angler ANOVA'!$B$10:$D$10</c:f>
              <c:numCache>
                <c:formatCode>General</c:formatCode>
                <c:ptCount val="3"/>
                <c:pt idx="0">
                  <c:v>79</c:v>
                </c:pt>
                <c:pt idx="1">
                  <c:v>433</c:v>
                </c:pt>
                <c:pt idx="2" formatCode="0">
                  <c:v>20.492204273045331</c:v>
                </c:pt>
              </c:numCache>
            </c:numRef>
          </c:xVal>
          <c:yVal>
            <c:numRef>
              <c:f>'Angler ANOVA'!$B$12:$D$12</c:f>
              <c:numCache>
                <c:formatCode>General</c:formatCode>
                <c:ptCount val="3"/>
                <c:pt idx="0">
                  <c:v>60</c:v>
                </c:pt>
                <c:pt idx="1">
                  <c:v>439</c:v>
                </c:pt>
                <c:pt idx="2" formatCode="0">
                  <c:v>26.082839483073201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A8-AB44-AAA2-B1191B94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9136"/>
        <c:axId val="31661056"/>
      </c:scatterChart>
      <c:valAx>
        <c:axId val="3165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</a:t>
                </a:r>
              </a:p>
            </c:rich>
          </c:tx>
          <c:overlay val="0"/>
        </c:title>
        <c:numFmt formatCode="@" sourceLinked="0"/>
        <c:majorTickMark val="out"/>
        <c:minorTickMark val="none"/>
        <c:tickLblPos val="nextTo"/>
        <c:crossAx val="31661056"/>
        <c:crosses val="autoZero"/>
        <c:crossBetween val="midCat"/>
      </c:valAx>
      <c:valAx>
        <c:axId val="31661056"/>
        <c:scaling>
          <c:orientation val="minMax"/>
          <c:min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Fork Length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6591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boxWhisker" uniqueId="{00000000-B776-814D-A349-9E47BF10BA40}">
          <cx:tx>
            <cx:txData>
              <cx:f/>
              <cx:v>Fangtooth</cx:v>
            </cx:txData>
          </cx:tx>
          <cx:dataId val="0"/>
          <cx:layoutPr>
            <cx:statistics quartileMethod="exclusive"/>
          </cx:layoutPr>
        </cx:series>
        <cx:series layoutId="boxWhisker" uniqueId="{00000001-B776-814D-A349-9E47BF10BA40}">
          <cx:tx>
            <cx:txData>
              <cx:f/>
              <cx:v>Viperfish</cx:v>
            </cx:txData>
          </cx:tx>
          <cx:dataId val="1"/>
          <cx:layoutPr>
            <cx:visibility meanMarker="1" nonoutliers="0" outliers="0"/>
            <cx:statistics quartileMethod="inclusive"/>
          </cx:layoutPr>
        </cx:series>
      </cx:plotAreaRegion>
      <cx:axis id="0" hidden="1">
        <cx:catScaling/>
        <cx:title>
          <cx:tx>
            <cx:txData>
              <cx:v>Species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2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Species</a:t>
              </a:r>
            </a:p>
          </cx:txPr>
        </cx:title>
        <cx:tickLabels/>
      </cx:axis>
      <cx:axis id="1">
        <cx:valScaling/>
        <cx:title>
          <cx:tx>
            <cx:txData>
              <cx:v>Depth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800"/>
              </a:pPr>
              <a:r>
                <a: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Depth</a:t>
              </a:r>
            </a:p>
          </cx:txPr>
        </cx:title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403225</xdr:colOff>
      <xdr:row>7</xdr:row>
      <xdr:rowOff>165100</xdr:rowOff>
    </xdr:from>
    <xdr:to>
      <xdr:col>17</xdr:col>
      <xdr:colOff>98425</xdr:colOff>
      <xdr:row>22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606425</xdr:colOff>
      <xdr:row>60</xdr:row>
      <xdr:rowOff>130175</xdr:rowOff>
    </xdr:from>
    <xdr:to>
      <xdr:col>12</xdr:col>
      <xdr:colOff>663575</xdr:colOff>
      <xdr:row>75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8696</xdr:colOff>
      <xdr:row>6</xdr:row>
      <xdr:rowOff>130776</xdr:rowOff>
    </xdr:from>
    <xdr:to>
      <xdr:col>21</xdr:col>
      <xdr:colOff>645641</xdr:colOff>
      <xdr:row>37</xdr:row>
      <xdr:rowOff>3776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4873FB-BE2C-9E42-B4F7-0D2C7A803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4101" y="1435100"/>
              <a:ext cx="4687216" cy="590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93</xdr:row>
      <xdr:rowOff>76200</xdr:rowOff>
    </xdr:from>
    <xdr:to>
      <xdr:col>14</xdr:col>
      <xdr:colOff>114300</xdr:colOff>
      <xdr:row>107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workbookViewId="0">
      <selection activeCell="G40" sqref="G40"/>
    </sheetView>
  </sheetViews>
  <sheetFormatPr baseColWidth="10" defaultColWidth="8.83203125" defaultRowHeight="15" x14ac:dyDescent="0.2"/>
  <cols>
    <col min="1" max="1" width="9.6640625" bestFit="1" customWidth="1"/>
    <col min="2" max="2" width="16.6640625" customWidth="1"/>
    <col min="4" max="4" width="13.83203125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3</v>
      </c>
      <c r="E1" t="s">
        <v>7</v>
      </c>
    </row>
    <row r="2" spans="1:5" x14ac:dyDescent="0.2">
      <c r="A2" t="s">
        <v>2</v>
      </c>
      <c r="B2">
        <v>73</v>
      </c>
      <c r="C2">
        <v>401</v>
      </c>
      <c r="D2" s="1">
        <v>36.662712884524737</v>
      </c>
      <c r="E2" t="s">
        <v>8</v>
      </c>
    </row>
    <row r="3" spans="1:5" x14ac:dyDescent="0.2">
      <c r="A3" t="s">
        <v>2</v>
      </c>
      <c r="B3">
        <v>83</v>
      </c>
      <c r="C3">
        <v>406</v>
      </c>
      <c r="D3" s="1">
        <v>24.065028908561459</v>
      </c>
      <c r="E3" t="s">
        <v>8</v>
      </c>
    </row>
    <row r="4" spans="1:5" x14ac:dyDescent="0.2">
      <c r="A4" t="s">
        <v>2</v>
      </c>
      <c r="B4">
        <v>86</v>
      </c>
      <c r="C4">
        <v>412</v>
      </c>
      <c r="D4" s="1">
        <v>19.861149267138007</v>
      </c>
      <c r="E4" t="s">
        <v>8</v>
      </c>
    </row>
    <row r="5" spans="1:5" x14ac:dyDescent="0.2">
      <c r="A5" t="s">
        <v>2</v>
      </c>
      <c r="B5">
        <v>81</v>
      </c>
      <c r="C5">
        <v>416</v>
      </c>
      <c r="D5" s="1">
        <v>33.554476136219442</v>
      </c>
      <c r="E5" t="s">
        <v>8</v>
      </c>
    </row>
    <row r="6" spans="1:5" x14ac:dyDescent="0.2">
      <c r="A6" t="s">
        <v>2</v>
      </c>
      <c r="B6">
        <v>58</v>
      </c>
      <c r="C6">
        <v>420</v>
      </c>
      <c r="D6" s="1">
        <v>30.777913097504193</v>
      </c>
      <c r="E6" t="s">
        <v>8</v>
      </c>
    </row>
    <row r="7" spans="1:5" x14ac:dyDescent="0.2">
      <c r="A7" t="s">
        <v>2</v>
      </c>
      <c r="B7">
        <v>46</v>
      </c>
      <c r="C7">
        <v>427</v>
      </c>
      <c r="D7" s="1">
        <v>24.750003539757664</v>
      </c>
      <c r="E7" t="s">
        <v>8</v>
      </c>
    </row>
    <row r="8" spans="1:5" x14ac:dyDescent="0.2">
      <c r="A8" t="s">
        <v>2</v>
      </c>
      <c r="B8">
        <v>72</v>
      </c>
      <c r="C8">
        <v>429</v>
      </c>
      <c r="D8" s="1">
        <v>26.653665312095626</v>
      </c>
      <c r="E8" t="s">
        <v>8</v>
      </c>
    </row>
    <row r="9" spans="1:5" x14ac:dyDescent="0.2">
      <c r="A9" t="s">
        <v>2</v>
      </c>
      <c r="B9">
        <v>61</v>
      </c>
      <c r="C9">
        <v>432</v>
      </c>
      <c r="D9" s="1">
        <v>23.905124273554964</v>
      </c>
      <c r="E9" t="s">
        <v>8</v>
      </c>
    </row>
    <row r="10" spans="1:5" x14ac:dyDescent="0.2">
      <c r="A10" t="s">
        <v>2</v>
      </c>
      <c r="B10">
        <v>79</v>
      </c>
      <c r="C10">
        <v>433</v>
      </c>
      <c r="D10" s="1">
        <v>20.492204273045331</v>
      </c>
      <c r="E10" t="s">
        <v>8</v>
      </c>
    </row>
    <row r="11" spans="1:5" x14ac:dyDescent="0.2">
      <c r="A11" t="s">
        <v>2</v>
      </c>
      <c r="B11">
        <v>80</v>
      </c>
      <c r="C11">
        <v>438</v>
      </c>
      <c r="D11" s="1">
        <v>17.300326361356991</v>
      </c>
      <c r="E11" t="s">
        <v>8</v>
      </c>
    </row>
    <row r="12" spans="1:5" x14ac:dyDescent="0.2">
      <c r="A12" t="s">
        <v>2</v>
      </c>
      <c r="B12">
        <v>60</v>
      </c>
      <c r="C12">
        <v>439</v>
      </c>
      <c r="D12" s="1">
        <v>26.082839483073201</v>
      </c>
      <c r="E12" t="s">
        <v>8</v>
      </c>
    </row>
    <row r="13" spans="1:5" x14ac:dyDescent="0.2">
      <c r="A13" t="s">
        <v>2</v>
      </c>
      <c r="B13">
        <v>58</v>
      </c>
      <c r="C13">
        <v>446</v>
      </c>
      <c r="D13" s="1">
        <v>13.763087661027233</v>
      </c>
      <c r="E13" t="s">
        <v>8</v>
      </c>
    </row>
    <row r="14" spans="1:5" x14ac:dyDescent="0.2">
      <c r="A14" t="s">
        <v>2</v>
      </c>
      <c r="B14">
        <v>80</v>
      </c>
      <c r="C14">
        <v>454</v>
      </c>
      <c r="D14" s="1">
        <v>30.764558973473459</v>
      </c>
      <c r="E14" t="s">
        <v>8</v>
      </c>
    </row>
    <row r="15" spans="1:5" x14ac:dyDescent="0.2">
      <c r="A15" t="s">
        <v>2</v>
      </c>
      <c r="B15">
        <v>82</v>
      </c>
      <c r="C15">
        <v>457</v>
      </c>
      <c r="D15" s="1">
        <v>26.342441907398111</v>
      </c>
      <c r="E15" t="s">
        <v>8</v>
      </c>
    </row>
    <row r="16" spans="1:5" x14ac:dyDescent="0.2">
      <c r="A16" t="s">
        <v>2</v>
      </c>
      <c r="B16">
        <v>61</v>
      </c>
      <c r="C16">
        <v>459</v>
      </c>
      <c r="D16" s="1">
        <v>25.448083025409009</v>
      </c>
      <c r="E16" t="s">
        <v>8</v>
      </c>
    </row>
    <row r="17" spans="1:5" x14ac:dyDescent="0.2">
      <c r="A17" t="s">
        <v>2</v>
      </c>
      <c r="B17">
        <v>43</v>
      </c>
      <c r="C17">
        <v>463</v>
      </c>
      <c r="D17" s="1">
        <v>23.524386494906807</v>
      </c>
      <c r="E17" t="s">
        <v>8</v>
      </c>
    </row>
    <row r="18" spans="1:5" x14ac:dyDescent="0.2">
      <c r="A18" t="s">
        <v>2</v>
      </c>
      <c r="B18">
        <v>69</v>
      </c>
      <c r="C18">
        <v>464</v>
      </c>
      <c r="D18" s="1">
        <v>30.658299950475275</v>
      </c>
      <c r="E18" t="s">
        <v>8</v>
      </c>
    </row>
    <row r="19" spans="1:5" x14ac:dyDescent="0.2">
      <c r="A19" t="s">
        <v>2</v>
      </c>
      <c r="B19">
        <v>63</v>
      </c>
      <c r="C19">
        <v>464</v>
      </c>
      <c r="D19" s="1">
        <v>21.12216376436271</v>
      </c>
      <c r="E19" t="s">
        <v>8</v>
      </c>
    </row>
    <row r="20" spans="1:5" x14ac:dyDescent="0.2">
      <c r="A20" t="s">
        <v>2</v>
      </c>
      <c r="B20">
        <v>82</v>
      </c>
      <c r="C20">
        <v>465</v>
      </c>
      <c r="D20" s="1">
        <v>28.947249962681006</v>
      </c>
      <c r="E20" t="s">
        <v>8</v>
      </c>
    </row>
    <row r="21" spans="1:5" x14ac:dyDescent="0.2">
      <c r="A21" t="s">
        <v>2</v>
      </c>
      <c r="B21">
        <v>66</v>
      </c>
      <c r="C21">
        <v>469</v>
      </c>
      <c r="D21" s="1">
        <v>23.59875314350343</v>
      </c>
      <c r="E21" t="s">
        <v>8</v>
      </c>
    </row>
    <row r="22" spans="1:5" x14ac:dyDescent="0.2">
      <c r="A22" t="s">
        <v>2</v>
      </c>
      <c r="B22">
        <v>81</v>
      </c>
      <c r="C22">
        <v>478</v>
      </c>
      <c r="D22" s="1">
        <v>21.22927700023013</v>
      </c>
      <c r="E22" t="s">
        <v>8</v>
      </c>
    </row>
    <row r="23" spans="1:5" x14ac:dyDescent="0.2">
      <c r="A23" t="s">
        <v>2</v>
      </c>
      <c r="B23">
        <v>56</v>
      </c>
      <c r="C23">
        <v>479</v>
      </c>
      <c r="D23" s="1">
        <v>20.366314420960872</v>
      </c>
      <c r="E23" t="s">
        <v>8</v>
      </c>
    </row>
    <row r="24" spans="1:5" x14ac:dyDescent="0.2">
      <c r="A24" t="s">
        <v>2</v>
      </c>
      <c r="B24">
        <v>71</v>
      </c>
      <c r="C24">
        <v>480</v>
      </c>
      <c r="D24" s="1">
        <v>20.873518260842779</v>
      </c>
      <c r="E24" t="s">
        <v>8</v>
      </c>
    </row>
    <row r="25" spans="1:5" x14ac:dyDescent="0.2">
      <c r="A25" t="s">
        <v>2</v>
      </c>
      <c r="B25">
        <v>68</v>
      </c>
      <c r="C25">
        <v>481</v>
      </c>
      <c r="D25" s="1">
        <v>35.750475285134463</v>
      </c>
      <c r="E25" t="s">
        <v>8</v>
      </c>
    </row>
    <row r="26" spans="1:5" x14ac:dyDescent="0.2">
      <c r="A26" t="s">
        <v>2</v>
      </c>
      <c r="B26">
        <v>42</v>
      </c>
      <c r="C26">
        <v>489</v>
      </c>
      <c r="D26" s="1">
        <v>26.642170927295503</v>
      </c>
      <c r="E26" t="s">
        <v>8</v>
      </c>
    </row>
    <row r="27" spans="1:5" x14ac:dyDescent="0.2">
      <c r="A27" t="s">
        <v>2</v>
      </c>
      <c r="B27">
        <v>71</v>
      </c>
      <c r="C27">
        <v>492</v>
      </c>
      <c r="D27" s="1">
        <v>33.218930750460785</v>
      </c>
      <c r="E27" t="s">
        <v>8</v>
      </c>
    </row>
    <row r="28" spans="1:5" x14ac:dyDescent="0.2">
      <c r="A28" t="s">
        <v>2</v>
      </c>
      <c r="B28">
        <v>84</v>
      </c>
      <c r="C28">
        <v>497</v>
      </c>
      <c r="D28" s="1">
        <v>24.277761337344266</v>
      </c>
      <c r="E28" t="s">
        <v>8</v>
      </c>
    </row>
    <row r="29" spans="1:5" x14ac:dyDescent="0.2">
      <c r="A29" t="s">
        <v>2</v>
      </c>
      <c r="B29">
        <v>86</v>
      </c>
      <c r="C29">
        <v>499</v>
      </c>
      <c r="D29" s="1">
        <v>36.959328463277728</v>
      </c>
      <c r="E29" t="s">
        <v>10</v>
      </c>
    </row>
    <row r="30" spans="1:5" x14ac:dyDescent="0.2">
      <c r="A30" t="s">
        <v>2</v>
      </c>
      <c r="B30">
        <v>64</v>
      </c>
      <c r="C30">
        <v>507</v>
      </c>
      <c r="D30" s="1">
        <v>24.877753115313691</v>
      </c>
      <c r="E30" t="s">
        <v>10</v>
      </c>
    </row>
    <row r="31" spans="1:5" x14ac:dyDescent="0.2">
      <c r="A31" t="s">
        <v>2</v>
      </c>
      <c r="B31">
        <v>64</v>
      </c>
      <c r="C31">
        <v>511</v>
      </c>
      <c r="D31" s="1">
        <v>25.380279173387116</v>
      </c>
      <c r="E31" t="s">
        <v>10</v>
      </c>
    </row>
    <row r="32" spans="1:5" x14ac:dyDescent="0.2">
      <c r="A32" t="s">
        <v>2</v>
      </c>
      <c r="B32">
        <v>68</v>
      </c>
      <c r="C32">
        <v>513</v>
      </c>
      <c r="D32" s="1">
        <v>31.980497659842484</v>
      </c>
      <c r="E32" t="s">
        <v>10</v>
      </c>
    </row>
    <row r="33" spans="1:5" x14ac:dyDescent="0.2">
      <c r="A33" t="s">
        <v>2</v>
      </c>
      <c r="B33">
        <v>60</v>
      </c>
      <c r="C33">
        <v>514</v>
      </c>
      <c r="D33" s="1">
        <v>15.640481221396875</v>
      </c>
      <c r="E33" t="s">
        <v>10</v>
      </c>
    </row>
    <row r="34" spans="1:5" x14ac:dyDescent="0.2">
      <c r="A34" t="s">
        <v>2</v>
      </c>
      <c r="B34">
        <v>42</v>
      </c>
      <c r="C34">
        <v>525</v>
      </c>
      <c r="D34" s="1">
        <v>27.311905528022308</v>
      </c>
      <c r="E34" t="s">
        <v>10</v>
      </c>
    </row>
    <row r="35" spans="1:5" x14ac:dyDescent="0.2">
      <c r="A35" t="s">
        <v>2</v>
      </c>
      <c r="B35">
        <v>77</v>
      </c>
      <c r="C35">
        <v>526</v>
      </c>
      <c r="D35" s="1">
        <v>27.143862142259426</v>
      </c>
      <c r="E35" t="s">
        <v>10</v>
      </c>
    </row>
    <row r="36" spans="1:5" x14ac:dyDescent="0.2">
      <c r="A36" t="s">
        <v>2</v>
      </c>
      <c r="B36">
        <v>79</v>
      </c>
      <c r="C36">
        <v>526</v>
      </c>
      <c r="D36" s="1">
        <v>20.117268731049339</v>
      </c>
      <c r="E36" t="s">
        <v>10</v>
      </c>
    </row>
    <row r="37" spans="1:5" x14ac:dyDescent="0.2">
      <c r="A37" t="s">
        <v>2</v>
      </c>
      <c r="B37">
        <v>72</v>
      </c>
      <c r="C37">
        <v>527</v>
      </c>
      <c r="D37" s="1">
        <v>19.215924123326673</v>
      </c>
      <c r="E37" t="s">
        <v>10</v>
      </c>
    </row>
    <row r="38" spans="1:5" x14ac:dyDescent="0.2">
      <c r="A38" t="s">
        <v>2</v>
      </c>
      <c r="B38">
        <v>54</v>
      </c>
      <c r="C38">
        <v>530</v>
      </c>
      <c r="D38" s="1">
        <v>25.086186948688503</v>
      </c>
      <c r="E38" t="s">
        <v>10</v>
      </c>
    </row>
    <row r="39" spans="1:5" x14ac:dyDescent="0.2">
      <c r="A39" t="s">
        <v>2</v>
      </c>
      <c r="B39">
        <v>84</v>
      </c>
      <c r="C39">
        <v>532</v>
      </c>
      <c r="D39" s="1">
        <v>27.476071146014309</v>
      </c>
      <c r="E39" t="s">
        <v>10</v>
      </c>
    </row>
    <row r="40" spans="1:5" x14ac:dyDescent="0.2">
      <c r="A40" t="s">
        <v>2</v>
      </c>
      <c r="B40">
        <v>49</v>
      </c>
      <c r="C40">
        <v>533</v>
      </c>
      <c r="D40" s="1">
        <v>23.44994670399587</v>
      </c>
      <c r="E40" t="s">
        <v>10</v>
      </c>
    </row>
    <row r="41" spans="1:5" x14ac:dyDescent="0.2">
      <c r="A41" t="s">
        <v>2</v>
      </c>
      <c r="B41">
        <v>83</v>
      </c>
      <c r="C41">
        <v>539</v>
      </c>
      <c r="D41" s="1">
        <v>29.213923419377053</v>
      </c>
      <c r="E41" t="s">
        <v>10</v>
      </c>
    </row>
    <row r="42" spans="1:5" x14ac:dyDescent="0.2">
      <c r="A42" t="s">
        <v>2</v>
      </c>
      <c r="B42">
        <v>64</v>
      </c>
      <c r="C42">
        <v>540</v>
      </c>
      <c r="D42" s="1">
        <v>24.936023398541003</v>
      </c>
      <c r="E42" t="s">
        <v>10</v>
      </c>
    </row>
    <row r="43" spans="1:5" x14ac:dyDescent="0.2">
      <c r="A43" t="s">
        <v>2</v>
      </c>
      <c r="B43">
        <v>65</v>
      </c>
      <c r="C43">
        <v>542</v>
      </c>
      <c r="D43" s="1">
        <v>20.839075754057696</v>
      </c>
      <c r="E43" t="s">
        <v>10</v>
      </c>
    </row>
    <row r="44" spans="1:5" x14ac:dyDescent="0.2">
      <c r="A44" t="s">
        <v>2</v>
      </c>
      <c r="B44">
        <v>49</v>
      </c>
      <c r="C44">
        <v>549</v>
      </c>
      <c r="D44" s="1">
        <v>22.046140478467862</v>
      </c>
      <c r="E44" t="s">
        <v>10</v>
      </c>
    </row>
    <row r="45" spans="1:5" x14ac:dyDescent="0.2">
      <c r="A45" t="s">
        <v>2</v>
      </c>
      <c r="B45">
        <v>63</v>
      </c>
      <c r="C45">
        <v>559</v>
      </c>
      <c r="D45" s="1">
        <v>31.654659407418819</v>
      </c>
      <c r="E45" t="s">
        <v>10</v>
      </c>
    </row>
    <row r="46" spans="1:5" x14ac:dyDescent="0.2">
      <c r="A46" t="s">
        <v>2</v>
      </c>
      <c r="B46">
        <v>55</v>
      </c>
      <c r="C46">
        <v>564</v>
      </c>
      <c r="D46" s="1">
        <v>25.02874069039153</v>
      </c>
      <c r="E46" t="s">
        <v>10</v>
      </c>
    </row>
    <row r="47" spans="1:5" x14ac:dyDescent="0.2">
      <c r="A47" t="s">
        <v>2</v>
      </c>
      <c r="B47">
        <v>51</v>
      </c>
      <c r="C47">
        <v>566</v>
      </c>
      <c r="D47" s="1">
        <v>29.40257801049416</v>
      </c>
      <c r="E47" t="s">
        <v>10</v>
      </c>
    </row>
    <row r="48" spans="1:5" x14ac:dyDescent="0.2">
      <c r="A48" t="s">
        <v>2</v>
      </c>
      <c r="B48">
        <v>60</v>
      </c>
      <c r="C48">
        <v>567</v>
      </c>
      <c r="D48" s="1">
        <v>22.311232607829776</v>
      </c>
      <c r="E48" t="s">
        <v>10</v>
      </c>
    </row>
    <row r="49" spans="1:5" x14ac:dyDescent="0.2">
      <c r="A49" t="s">
        <v>2</v>
      </c>
      <c r="B49">
        <v>70</v>
      </c>
      <c r="C49">
        <v>572</v>
      </c>
      <c r="D49" s="1">
        <v>16.06734143935056</v>
      </c>
      <c r="E49" t="s">
        <v>10</v>
      </c>
    </row>
    <row r="50" spans="1:5" x14ac:dyDescent="0.2">
      <c r="A50" t="s">
        <v>2</v>
      </c>
      <c r="B50">
        <v>62</v>
      </c>
      <c r="C50">
        <v>573</v>
      </c>
      <c r="D50" s="1">
        <v>23.573507683401562</v>
      </c>
      <c r="E50" t="s">
        <v>10</v>
      </c>
    </row>
    <row r="51" spans="1:5" x14ac:dyDescent="0.2">
      <c r="A51" t="s">
        <v>2</v>
      </c>
      <c r="B51">
        <v>54</v>
      </c>
      <c r="C51">
        <v>579</v>
      </c>
      <c r="D51" s="1">
        <v>27.938859129243951</v>
      </c>
      <c r="E51" t="s">
        <v>10</v>
      </c>
    </row>
    <row r="52" spans="1:5" x14ac:dyDescent="0.2">
      <c r="A52" t="s">
        <v>2</v>
      </c>
      <c r="B52">
        <v>41</v>
      </c>
      <c r="C52">
        <v>586</v>
      </c>
      <c r="D52" s="1">
        <v>30.326294569010479</v>
      </c>
      <c r="E52" t="s">
        <v>10</v>
      </c>
    </row>
    <row r="53" spans="1:5" x14ac:dyDescent="0.2">
      <c r="A53" t="s">
        <v>2</v>
      </c>
      <c r="B53">
        <v>62</v>
      </c>
      <c r="C53">
        <v>595</v>
      </c>
      <c r="D53" s="1">
        <v>24.12173447160249</v>
      </c>
      <c r="E53" t="s">
        <v>10</v>
      </c>
    </row>
    <row r="54" spans="1:5" x14ac:dyDescent="0.2">
      <c r="A54" t="s">
        <v>2</v>
      </c>
      <c r="B54">
        <v>61</v>
      </c>
      <c r="C54">
        <v>595</v>
      </c>
      <c r="D54" s="1">
        <v>12.275641802021545</v>
      </c>
      <c r="E54" t="s">
        <v>10</v>
      </c>
    </row>
    <row r="55" spans="1:5" x14ac:dyDescent="0.2">
      <c r="A55" t="s">
        <v>2</v>
      </c>
      <c r="B55">
        <v>89</v>
      </c>
      <c r="C55">
        <v>599</v>
      </c>
      <c r="D55" s="1">
        <v>21.288480581303617</v>
      </c>
      <c r="E55" t="s">
        <v>10</v>
      </c>
    </row>
    <row r="56" spans="1:5" x14ac:dyDescent="0.2">
      <c r="A56" t="s">
        <v>2</v>
      </c>
      <c r="B56">
        <v>53</v>
      </c>
      <c r="C56">
        <v>601</v>
      </c>
      <c r="D56" s="1">
        <v>27.755994175975083</v>
      </c>
      <c r="E56" t="s">
        <v>10</v>
      </c>
    </row>
    <row r="57" spans="1:5" x14ac:dyDescent="0.2">
      <c r="A57" t="s">
        <v>2</v>
      </c>
      <c r="B57">
        <v>73</v>
      </c>
      <c r="C57">
        <v>605</v>
      </c>
      <c r="D57" s="1">
        <v>26.027913686639707</v>
      </c>
      <c r="E57" t="s">
        <v>10</v>
      </c>
    </row>
    <row r="58" spans="1:5" x14ac:dyDescent="0.2">
      <c r="A58" t="s">
        <v>2</v>
      </c>
      <c r="B58">
        <v>68</v>
      </c>
      <c r="C58">
        <v>606</v>
      </c>
      <c r="D58" s="1">
        <v>27.202934870574428</v>
      </c>
      <c r="E58" t="s">
        <v>10</v>
      </c>
    </row>
    <row r="59" spans="1:5" x14ac:dyDescent="0.2">
      <c r="A59" t="s">
        <v>2</v>
      </c>
      <c r="B59">
        <v>45</v>
      </c>
      <c r="C59">
        <v>609</v>
      </c>
      <c r="D59" s="1">
        <v>16.766547971650365</v>
      </c>
      <c r="E59" t="s">
        <v>10</v>
      </c>
    </row>
    <row r="60" spans="1:5" x14ac:dyDescent="0.2">
      <c r="A60" t="s">
        <v>2</v>
      </c>
      <c r="B60">
        <v>88</v>
      </c>
      <c r="C60">
        <v>611</v>
      </c>
      <c r="D60" s="1">
        <v>24.034615986073817</v>
      </c>
      <c r="E60" t="s">
        <v>10</v>
      </c>
    </row>
    <row r="61" spans="1:5" x14ac:dyDescent="0.2">
      <c r="A61" t="s">
        <v>2</v>
      </c>
      <c r="B61">
        <v>56</v>
      </c>
      <c r="C61">
        <v>611</v>
      </c>
      <c r="D61" s="1">
        <v>20.177952899291753</v>
      </c>
      <c r="E61" t="s">
        <v>10</v>
      </c>
    </row>
    <row r="62" spans="1:5" x14ac:dyDescent="0.2">
      <c r="A62" t="s">
        <v>2</v>
      </c>
      <c r="B62">
        <v>45</v>
      </c>
      <c r="C62">
        <v>616</v>
      </c>
      <c r="D62" s="1">
        <v>26.91145512059396</v>
      </c>
      <c r="E62" t="s">
        <v>10</v>
      </c>
    </row>
    <row r="63" spans="1:5" x14ac:dyDescent="0.2">
      <c r="A63" t="s">
        <v>2</v>
      </c>
      <c r="B63">
        <v>45</v>
      </c>
      <c r="C63">
        <v>623</v>
      </c>
      <c r="D63" s="1">
        <v>21.624930611564057</v>
      </c>
      <c r="E63" t="s">
        <v>10</v>
      </c>
    </row>
    <row r="64" spans="1:5" x14ac:dyDescent="0.2">
      <c r="A64" t="s">
        <v>2</v>
      </c>
      <c r="B64">
        <v>47</v>
      </c>
      <c r="C64">
        <v>625</v>
      </c>
      <c r="D64" s="1">
        <v>23.869670040118539</v>
      </c>
      <c r="E64" t="s">
        <v>10</v>
      </c>
    </row>
    <row r="65" spans="1:5" x14ac:dyDescent="0.2">
      <c r="A65" t="s">
        <v>2</v>
      </c>
      <c r="B65">
        <v>86</v>
      </c>
      <c r="C65">
        <v>625</v>
      </c>
      <c r="D65" s="1">
        <v>23.539493439206549</v>
      </c>
      <c r="E65" t="s">
        <v>10</v>
      </c>
    </row>
    <row r="66" spans="1:5" x14ac:dyDescent="0.2">
      <c r="A66" t="s">
        <v>2</v>
      </c>
      <c r="B66">
        <v>40</v>
      </c>
      <c r="C66">
        <v>627</v>
      </c>
      <c r="D66" s="1">
        <v>16.028940864573009</v>
      </c>
      <c r="E66" t="s">
        <v>10</v>
      </c>
    </row>
    <row r="67" spans="1:5" x14ac:dyDescent="0.2">
      <c r="A67" t="s">
        <v>2</v>
      </c>
      <c r="B67">
        <v>63</v>
      </c>
      <c r="C67">
        <v>631</v>
      </c>
      <c r="D67" s="1">
        <v>28.413108418007013</v>
      </c>
      <c r="E67" t="s">
        <v>10</v>
      </c>
    </row>
    <row r="68" spans="1:5" x14ac:dyDescent="0.2">
      <c r="A68" t="s">
        <v>2</v>
      </c>
      <c r="B68">
        <v>83</v>
      </c>
      <c r="C68">
        <v>644</v>
      </c>
      <c r="D68" s="1">
        <v>23.513093135565942</v>
      </c>
      <c r="E68" t="s">
        <v>9</v>
      </c>
    </row>
    <row r="69" spans="1:5" x14ac:dyDescent="0.2">
      <c r="A69" t="s">
        <v>2</v>
      </c>
      <c r="B69">
        <v>63</v>
      </c>
      <c r="C69">
        <v>646</v>
      </c>
      <c r="D69" s="1">
        <v>25.127615940008965</v>
      </c>
      <c r="E69" t="s">
        <v>9</v>
      </c>
    </row>
    <row r="70" spans="1:5" x14ac:dyDescent="0.2">
      <c r="A70" t="s">
        <v>2</v>
      </c>
      <c r="B70">
        <v>89</v>
      </c>
      <c r="C70">
        <v>649</v>
      </c>
      <c r="D70" s="1">
        <v>31.046643993346525</v>
      </c>
      <c r="E70" t="s">
        <v>9</v>
      </c>
    </row>
    <row r="71" spans="1:5" x14ac:dyDescent="0.2">
      <c r="A71" t="s">
        <v>2</v>
      </c>
      <c r="B71">
        <v>80</v>
      </c>
      <c r="C71">
        <v>654</v>
      </c>
      <c r="D71" s="1">
        <v>24.334917873864676</v>
      </c>
      <c r="E71" t="s">
        <v>9</v>
      </c>
    </row>
    <row r="72" spans="1:5" x14ac:dyDescent="0.2">
      <c r="A72" t="s">
        <v>2</v>
      </c>
      <c r="B72">
        <v>87</v>
      </c>
      <c r="C72">
        <v>661</v>
      </c>
      <c r="D72" s="1">
        <v>30.23582722005273</v>
      </c>
      <c r="E72" t="s">
        <v>9</v>
      </c>
    </row>
    <row r="73" spans="1:5" x14ac:dyDescent="0.2">
      <c r="A73" t="s">
        <v>2</v>
      </c>
      <c r="B73">
        <v>52</v>
      </c>
      <c r="C73">
        <v>663</v>
      </c>
      <c r="D73" s="1">
        <v>28.706165432427117</v>
      </c>
      <c r="E73" t="s">
        <v>9</v>
      </c>
    </row>
    <row r="74" spans="1:5" x14ac:dyDescent="0.2">
      <c r="A74" t="s">
        <v>2</v>
      </c>
      <c r="B74">
        <v>69</v>
      </c>
      <c r="C74">
        <v>665</v>
      </c>
      <c r="D74" s="1">
        <v>23.344681621851379</v>
      </c>
      <c r="E74" t="s">
        <v>9</v>
      </c>
    </row>
    <row r="75" spans="1:5" x14ac:dyDescent="0.2">
      <c r="A75" t="s">
        <v>2</v>
      </c>
      <c r="B75">
        <v>83</v>
      </c>
      <c r="C75">
        <v>669</v>
      </c>
      <c r="D75" s="1">
        <v>21.336349294584586</v>
      </c>
      <c r="E75" t="s">
        <v>9</v>
      </c>
    </row>
    <row r="76" spans="1:5" x14ac:dyDescent="0.2">
      <c r="A76" t="s">
        <v>2</v>
      </c>
      <c r="B76">
        <v>44</v>
      </c>
      <c r="C76">
        <v>672</v>
      </c>
      <c r="D76" s="1">
        <v>41.818726381738514</v>
      </c>
      <c r="E76" t="s">
        <v>9</v>
      </c>
    </row>
    <row r="77" spans="1:5" x14ac:dyDescent="0.2">
      <c r="A77" t="s">
        <v>2</v>
      </c>
      <c r="B77">
        <v>47</v>
      </c>
      <c r="C77">
        <v>685</v>
      </c>
      <c r="D77" s="1">
        <v>31.930403692557949</v>
      </c>
      <c r="E77" t="s">
        <v>9</v>
      </c>
    </row>
    <row r="78" spans="1:5" x14ac:dyDescent="0.2">
      <c r="A78" t="s">
        <v>2</v>
      </c>
      <c r="B78">
        <v>72</v>
      </c>
      <c r="C78">
        <v>687</v>
      </c>
      <c r="D78" s="1">
        <v>22.914615474102806</v>
      </c>
      <c r="E78" t="s">
        <v>9</v>
      </c>
    </row>
    <row r="79" spans="1:5" x14ac:dyDescent="0.2">
      <c r="A79" t="s">
        <v>2</v>
      </c>
      <c r="B79">
        <v>49</v>
      </c>
      <c r="C79">
        <v>688</v>
      </c>
      <c r="D79" s="1">
        <v>29.042322528430386</v>
      </c>
      <c r="E79" t="s">
        <v>9</v>
      </c>
    </row>
    <row r="80" spans="1:5" x14ac:dyDescent="0.2">
      <c r="A80" t="s">
        <v>2</v>
      </c>
      <c r="B80">
        <v>83</v>
      </c>
      <c r="C80">
        <v>688</v>
      </c>
      <c r="D80" s="1">
        <v>27.420280489420218</v>
      </c>
      <c r="E80" t="s">
        <v>9</v>
      </c>
    </row>
    <row r="81" spans="1:5" x14ac:dyDescent="0.2">
      <c r="A81" t="s">
        <v>2</v>
      </c>
      <c r="B81">
        <v>63</v>
      </c>
      <c r="C81">
        <v>690</v>
      </c>
      <c r="D81" s="1">
        <v>29.203278185481366</v>
      </c>
      <c r="E81" t="s">
        <v>9</v>
      </c>
    </row>
    <row r="82" spans="1:5" x14ac:dyDescent="0.2">
      <c r="A82" t="s">
        <v>2</v>
      </c>
      <c r="B82">
        <v>57</v>
      </c>
      <c r="C82">
        <v>695</v>
      </c>
      <c r="D82" s="1">
        <v>29.778266637843117</v>
      </c>
      <c r="E82" t="s">
        <v>9</v>
      </c>
    </row>
    <row r="83" spans="1:5" x14ac:dyDescent="0.2">
      <c r="A83" t="s">
        <v>2</v>
      </c>
      <c r="B83">
        <v>50</v>
      </c>
      <c r="C83">
        <v>701</v>
      </c>
      <c r="D83" s="1">
        <v>34.133393224680546</v>
      </c>
      <c r="E83" t="s">
        <v>9</v>
      </c>
    </row>
    <row r="84" spans="1:5" x14ac:dyDescent="0.2">
      <c r="A84" t="s">
        <v>2</v>
      </c>
      <c r="B84">
        <v>83</v>
      </c>
      <c r="C84">
        <v>702</v>
      </c>
      <c r="D84" s="1">
        <v>24.512964346852286</v>
      </c>
      <c r="E84" t="s">
        <v>9</v>
      </c>
    </row>
    <row r="85" spans="1:5" x14ac:dyDescent="0.2">
      <c r="A85" t="s">
        <v>2</v>
      </c>
      <c r="B85">
        <v>74</v>
      </c>
      <c r="C85">
        <v>707</v>
      </c>
      <c r="D85" s="1">
        <v>25.327104416192544</v>
      </c>
      <c r="E85" t="s">
        <v>9</v>
      </c>
    </row>
    <row r="86" spans="1:5" x14ac:dyDescent="0.2">
      <c r="A86" t="s">
        <v>2</v>
      </c>
      <c r="B86">
        <v>50</v>
      </c>
      <c r="C86">
        <v>713</v>
      </c>
      <c r="D86" s="1">
        <v>15.877809011400686</v>
      </c>
      <c r="E86" t="s">
        <v>9</v>
      </c>
    </row>
    <row r="87" spans="1:5" x14ac:dyDescent="0.2">
      <c r="A87" t="s">
        <v>2</v>
      </c>
      <c r="B87">
        <v>81</v>
      </c>
      <c r="C87">
        <v>714</v>
      </c>
      <c r="D87" s="1">
        <v>23.820754593423551</v>
      </c>
      <c r="E87" t="s">
        <v>9</v>
      </c>
    </row>
    <row r="88" spans="1:5" x14ac:dyDescent="0.2">
      <c r="A88" t="s">
        <v>2</v>
      </c>
      <c r="B88">
        <v>67</v>
      </c>
      <c r="C88">
        <v>717</v>
      </c>
      <c r="D88" s="1">
        <v>20.933797963221181</v>
      </c>
      <c r="E88" t="s">
        <v>9</v>
      </c>
    </row>
    <row r="89" spans="1:5" x14ac:dyDescent="0.2">
      <c r="A89" t="s">
        <v>2</v>
      </c>
      <c r="B89">
        <v>70</v>
      </c>
      <c r="C89">
        <v>720</v>
      </c>
      <c r="D89" s="1">
        <v>31.662324357095422</v>
      </c>
      <c r="E89" t="s">
        <v>9</v>
      </c>
    </row>
    <row r="90" spans="1:5" x14ac:dyDescent="0.2">
      <c r="A90" t="s">
        <v>2</v>
      </c>
      <c r="B90">
        <v>56</v>
      </c>
      <c r="C90">
        <v>724</v>
      </c>
      <c r="D90" s="1">
        <v>21.018262677658797</v>
      </c>
      <c r="E90" t="s">
        <v>9</v>
      </c>
    </row>
    <row r="91" spans="1:5" x14ac:dyDescent="0.2">
      <c r="A91" t="s">
        <v>2</v>
      </c>
      <c r="B91">
        <v>48</v>
      </c>
      <c r="C91">
        <v>725</v>
      </c>
      <c r="D91" s="1">
        <v>28.157825362537842</v>
      </c>
      <c r="E91" t="s">
        <v>9</v>
      </c>
    </row>
    <row r="92" spans="1:5" x14ac:dyDescent="0.2">
      <c r="A92" t="s">
        <v>2</v>
      </c>
      <c r="B92">
        <v>62</v>
      </c>
      <c r="C92">
        <v>727</v>
      </c>
      <c r="D92" s="1">
        <v>26.503042888651859</v>
      </c>
      <c r="E92" t="s">
        <v>9</v>
      </c>
    </row>
    <row r="93" spans="1:5" x14ac:dyDescent="0.2">
      <c r="A93" t="s">
        <v>2</v>
      </c>
      <c r="B93">
        <v>52</v>
      </c>
      <c r="C93">
        <v>733</v>
      </c>
      <c r="D93" s="1">
        <v>23.001894735197649</v>
      </c>
      <c r="E93" t="s">
        <v>9</v>
      </c>
    </row>
    <row r="94" spans="1:5" x14ac:dyDescent="0.2">
      <c r="A94" t="s">
        <v>2</v>
      </c>
      <c r="B94">
        <v>86</v>
      </c>
      <c r="C94">
        <v>734</v>
      </c>
      <c r="D94" s="1">
        <v>26.01194696096913</v>
      </c>
      <c r="E94" t="s">
        <v>9</v>
      </c>
    </row>
    <row r="95" spans="1:5" x14ac:dyDescent="0.2">
      <c r="A95" t="s">
        <v>2</v>
      </c>
      <c r="B95">
        <v>64</v>
      </c>
      <c r="C95">
        <v>736</v>
      </c>
      <c r="D95" s="1">
        <v>40.408333650867995</v>
      </c>
      <c r="E95" t="s">
        <v>9</v>
      </c>
    </row>
    <row r="96" spans="1:5" x14ac:dyDescent="0.2">
      <c r="A96" t="s">
        <v>2</v>
      </c>
      <c r="B96">
        <v>81</v>
      </c>
      <c r="C96">
        <v>737</v>
      </c>
      <c r="D96" s="1">
        <v>37.203901819488728</v>
      </c>
      <c r="E96" t="s">
        <v>9</v>
      </c>
    </row>
    <row r="97" spans="1:5" x14ac:dyDescent="0.2">
      <c r="A97" t="s">
        <v>2</v>
      </c>
      <c r="B97">
        <v>86</v>
      </c>
      <c r="C97">
        <v>738</v>
      </c>
      <c r="D97" s="1">
        <v>21.998785284485923</v>
      </c>
      <c r="E97" t="s">
        <v>9</v>
      </c>
    </row>
    <row r="98" spans="1:5" x14ac:dyDescent="0.2">
      <c r="A98" t="s">
        <v>2</v>
      </c>
      <c r="B98">
        <v>59</v>
      </c>
      <c r="C98">
        <v>739</v>
      </c>
      <c r="D98" s="1">
        <v>37.154040582917133</v>
      </c>
      <c r="E98" t="s">
        <v>9</v>
      </c>
    </row>
    <row r="99" spans="1:5" x14ac:dyDescent="0.2">
      <c r="A99" t="s">
        <v>2</v>
      </c>
      <c r="B99">
        <v>66</v>
      </c>
      <c r="C99">
        <v>740</v>
      </c>
      <c r="D99" s="1">
        <v>20.159225374607761</v>
      </c>
      <c r="E99" t="s">
        <v>9</v>
      </c>
    </row>
    <row r="100" spans="1:5" x14ac:dyDescent="0.2">
      <c r="A100" t="s">
        <v>2</v>
      </c>
      <c r="B100">
        <v>42</v>
      </c>
      <c r="C100">
        <v>746</v>
      </c>
      <c r="D100" s="1">
        <v>27.643234722359775</v>
      </c>
      <c r="E100" t="s">
        <v>9</v>
      </c>
    </row>
    <row r="101" spans="1:5" x14ac:dyDescent="0.2">
      <c r="A101" t="s">
        <v>2</v>
      </c>
      <c r="B101">
        <v>83</v>
      </c>
      <c r="C101">
        <v>750</v>
      </c>
      <c r="D101" s="1">
        <v>28.268851640825478</v>
      </c>
      <c r="E101" t="s">
        <v>9</v>
      </c>
    </row>
    <row r="102" spans="1:5" x14ac:dyDescent="0.2">
      <c r="A102" t="s">
        <v>1</v>
      </c>
      <c r="B102">
        <v>32</v>
      </c>
      <c r="C102" s="1">
        <v>102.38710027421307</v>
      </c>
      <c r="D102" s="1">
        <v>8.945521395259858</v>
      </c>
      <c r="E102" t="s">
        <v>8</v>
      </c>
    </row>
    <row r="103" spans="1:5" x14ac:dyDescent="0.2">
      <c r="A103" t="s">
        <v>1</v>
      </c>
      <c r="B103">
        <v>31</v>
      </c>
      <c r="C103" s="1">
        <v>117.8835928900325</v>
      </c>
      <c r="D103" s="1">
        <v>23.943036208305255</v>
      </c>
      <c r="E103" t="s">
        <v>8</v>
      </c>
    </row>
    <row r="104" spans="1:5" x14ac:dyDescent="0.2">
      <c r="A104" t="s">
        <v>1</v>
      </c>
      <c r="B104">
        <v>20</v>
      </c>
      <c r="C104" s="1">
        <v>122.9341784440149</v>
      </c>
      <c r="D104" s="1">
        <v>12.116262615621711</v>
      </c>
      <c r="E104" t="s">
        <v>8</v>
      </c>
    </row>
    <row r="105" spans="1:5" x14ac:dyDescent="0.2">
      <c r="A105" t="s">
        <v>1</v>
      </c>
      <c r="B105">
        <v>51</v>
      </c>
      <c r="C105" s="1">
        <v>125.7701683516176</v>
      </c>
      <c r="D105" s="1">
        <v>19.903633853516144</v>
      </c>
      <c r="E105" t="s">
        <v>8</v>
      </c>
    </row>
    <row r="106" spans="1:5" x14ac:dyDescent="0.2">
      <c r="A106" t="s">
        <v>1</v>
      </c>
      <c r="B106">
        <v>31</v>
      </c>
      <c r="C106" s="1">
        <v>133.4448206482989</v>
      </c>
      <c r="D106" s="1">
        <v>13.793949378928454</v>
      </c>
      <c r="E106" t="s">
        <v>8</v>
      </c>
    </row>
    <row r="107" spans="1:5" x14ac:dyDescent="0.2">
      <c r="A107" t="s">
        <v>1</v>
      </c>
      <c r="B107">
        <v>24</v>
      </c>
      <c r="C107" s="1">
        <v>137.11529013257308</v>
      </c>
      <c r="D107" s="1">
        <v>20.626298321822361</v>
      </c>
      <c r="E107" t="s">
        <v>8</v>
      </c>
    </row>
    <row r="108" spans="1:5" x14ac:dyDescent="0.2">
      <c r="A108" t="s">
        <v>1</v>
      </c>
      <c r="B108">
        <v>34</v>
      </c>
      <c r="C108" s="1">
        <v>141.40252890251418</v>
      </c>
      <c r="D108" s="1">
        <v>25.698726112209719</v>
      </c>
      <c r="E108" t="s">
        <v>8</v>
      </c>
    </row>
    <row r="109" spans="1:5" x14ac:dyDescent="0.2">
      <c r="A109" t="s">
        <v>1</v>
      </c>
      <c r="B109">
        <v>58</v>
      </c>
      <c r="C109" s="1">
        <v>146.99718852390066</v>
      </c>
      <c r="D109" s="1">
        <v>22.426838946188425</v>
      </c>
      <c r="E109" t="s">
        <v>8</v>
      </c>
    </row>
    <row r="110" spans="1:5" x14ac:dyDescent="0.2">
      <c r="A110" t="s">
        <v>1</v>
      </c>
      <c r="B110">
        <v>55</v>
      </c>
      <c r="C110" s="1">
        <v>149.94337512100921</v>
      </c>
      <c r="D110" s="1">
        <v>12.25114600421734</v>
      </c>
      <c r="E110" t="s">
        <v>8</v>
      </c>
    </row>
    <row r="111" spans="1:5" x14ac:dyDescent="0.2">
      <c r="A111" t="s">
        <v>1</v>
      </c>
      <c r="B111">
        <v>50</v>
      </c>
      <c r="C111" s="1">
        <v>150.93282234163033</v>
      </c>
      <c r="D111" s="1">
        <v>19.25076436532424</v>
      </c>
      <c r="E111" t="s">
        <v>8</v>
      </c>
    </row>
    <row r="112" spans="1:5" x14ac:dyDescent="0.2">
      <c r="A112" t="s">
        <v>1</v>
      </c>
      <c r="B112">
        <v>47</v>
      </c>
      <c r="C112" s="1">
        <v>166.41527798140478</v>
      </c>
      <c r="D112" s="1">
        <v>4.9470260646703927</v>
      </c>
      <c r="E112" t="s">
        <v>8</v>
      </c>
    </row>
    <row r="113" spans="1:5" x14ac:dyDescent="0.2">
      <c r="A113" t="s">
        <v>1</v>
      </c>
      <c r="B113">
        <v>7</v>
      </c>
      <c r="C113" s="1">
        <v>168.60333246405361</v>
      </c>
      <c r="D113" s="1">
        <v>19.153866016001817</v>
      </c>
      <c r="E113" t="s">
        <v>8</v>
      </c>
    </row>
    <row r="114" spans="1:5" x14ac:dyDescent="0.2">
      <c r="A114" t="s">
        <v>1</v>
      </c>
      <c r="B114">
        <v>16</v>
      </c>
      <c r="C114" s="1">
        <v>171.11626331181043</v>
      </c>
      <c r="D114" s="1">
        <v>21.80081006986811</v>
      </c>
      <c r="E114" t="s">
        <v>8</v>
      </c>
    </row>
    <row r="115" spans="1:5" x14ac:dyDescent="0.2">
      <c r="A115" t="s">
        <v>1</v>
      </c>
      <c r="B115">
        <v>21</v>
      </c>
      <c r="C115" s="1">
        <v>184.49231178988748</v>
      </c>
      <c r="D115" s="1">
        <v>28.152102825991193</v>
      </c>
      <c r="E115" t="s">
        <v>8</v>
      </c>
    </row>
    <row r="116" spans="1:5" x14ac:dyDescent="0.2">
      <c r="A116" t="s">
        <v>1</v>
      </c>
      <c r="B116">
        <v>58</v>
      </c>
      <c r="C116" s="1">
        <v>191.76734689178056</v>
      </c>
      <c r="D116" s="1">
        <v>12.557288695532545</v>
      </c>
      <c r="E116" t="s">
        <v>8</v>
      </c>
    </row>
    <row r="117" spans="1:5" x14ac:dyDescent="0.2">
      <c r="A117" t="s">
        <v>1</v>
      </c>
      <c r="B117">
        <v>25</v>
      </c>
      <c r="C117" s="1">
        <v>192.85604261412317</v>
      </c>
      <c r="D117" s="1">
        <v>14.214441400380043</v>
      </c>
      <c r="E117" t="s">
        <v>8</v>
      </c>
    </row>
    <row r="118" spans="1:5" x14ac:dyDescent="0.2">
      <c r="A118" t="s">
        <v>1</v>
      </c>
      <c r="B118">
        <v>43</v>
      </c>
      <c r="C118" s="1">
        <v>203.48548018994208</v>
      </c>
      <c r="D118" s="1">
        <v>22.418213992682674</v>
      </c>
      <c r="E118" t="s">
        <v>8</v>
      </c>
    </row>
    <row r="119" spans="1:5" x14ac:dyDescent="0.2">
      <c r="A119" t="s">
        <v>1</v>
      </c>
      <c r="B119">
        <v>19</v>
      </c>
      <c r="C119" s="1">
        <v>205.84306400023502</v>
      </c>
      <c r="D119" s="1">
        <v>21.547065671429401</v>
      </c>
      <c r="E119" t="s">
        <v>8</v>
      </c>
    </row>
    <row r="120" spans="1:5" x14ac:dyDescent="0.2">
      <c r="A120" t="s">
        <v>1</v>
      </c>
      <c r="B120">
        <v>16</v>
      </c>
      <c r="C120" s="1">
        <v>210.08151936956989</v>
      </c>
      <c r="D120" s="1">
        <v>23.703620916100682</v>
      </c>
      <c r="E120" t="s">
        <v>8</v>
      </c>
    </row>
    <row r="121" spans="1:5" x14ac:dyDescent="0.2">
      <c r="A121" t="s">
        <v>1</v>
      </c>
      <c r="B121">
        <v>54</v>
      </c>
      <c r="C121" s="1">
        <v>220.90064541211564</v>
      </c>
      <c r="D121" s="1">
        <v>18.644172980492865</v>
      </c>
      <c r="E121" t="s">
        <v>8</v>
      </c>
    </row>
    <row r="122" spans="1:5" x14ac:dyDescent="0.2">
      <c r="A122" t="s">
        <v>1</v>
      </c>
      <c r="B122">
        <v>7</v>
      </c>
      <c r="C122" s="1">
        <v>222.27667979996116</v>
      </c>
      <c r="D122" s="1">
        <v>19.322147561873287</v>
      </c>
      <c r="E122" t="s">
        <v>8</v>
      </c>
    </row>
    <row r="123" spans="1:5" x14ac:dyDescent="0.2">
      <c r="A123" t="s">
        <v>1</v>
      </c>
      <c r="B123">
        <v>10</v>
      </c>
      <c r="C123" s="1">
        <v>229.5124751312492</v>
      </c>
      <c r="D123" s="1">
        <v>17.786458605533586</v>
      </c>
      <c r="E123" t="s">
        <v>8</v>
      </c>
    </row>
    <row r="124" spans="1:5" x14ac:dyDescent="0.2">
      <c r="A124" t="s">
        <v>1</v>
      </c>
      <c r="B124">
        <v>57</v>
      </c>
      <c r="C124" s="1">
        <v>229.66622688813868</v>
      </c>
      <c r="D124" s="1">
        <v>25.371262695187749</v>
      </c>
      <c r="E124" t="s">
        <v>8</v>
      </c>
    </row>
    <row r="125" spans="1:5" x14ac:dyDescent="0.2">
      <c r="A125" t="s">
        <v>1</v>
      </c>
      <c r="B125">
        <v>41</v>
      </c>
      <c r="C125" s="1">
        <v>234.00217196774111</v>
      </c>
      <c r="D125" s="1">
        <v>16.432122140153609</v>
      </c>
      <c r="E125" t="s">
        <v>8</v>
      </c>
    </row>
    <row r="126" spans="1:5" x14ac:dyDescent="0.2">
      <c r="A126" t="s">
        <v>1</v>
      </c>
      <c r="B126">
        <v>39</v>
      </c>
      <c r="C126" s="1">
        <v>237.08734263017507</v>
      </c>
      <c r="D126" s="1">
        <v>26.163964240002201</v>
      </c>
      <c r="E126" t="s">
        <v>8</v>
      </c>
    </row>
    <row r="127" spans="1:5" x14ac:dyDescent="0.2">
      <c r="A127" t="s">
        <v>1</v>
      </c>
      <c r="B127">
        <v>24</v>
      </c>
      <c r="C127" s="1">
        <v>239.64001535977476</v>
      </c>
      <c r="D127" s="1">
        <v>18.078555645746697</v>
      </c>
      <c r="E127" t="s">
        <v>8</v>
      </c>
    </row>
    <row r="128" spans="1:5" x14ac:dyDescent="0.2">
      <c r="A128" t="s">
        <v>1</v>
      </c>
      <c r="B128">
        <v>39</v>
      </c>
      <c r="C128" s="1">
        <v>239.7301873542971</v>
      </c>
      <c r="D128" s="1">
        <v>21.189079417028104</v>
      </c>
      <c r="E128" t="s">
        <v>8</v>
      </c>
    </row>
    <row r="129" spans="1:5" x14ac:dyDescent="0.2">
      <c r="A129" t="s">
        <v>1</v>
      </c>
      <c r="B129">
        <v>52</v>
      </c>
      <c r="C129" s="1">
        <v>244.96189764222089</v>
      </c>
      <c r="D129" s="1">
        <v>15.043693464890044</v>
      </c>
      <c r="E129" t="s">
        <v>10</v>
      </c>
    </row>
    <row r="130" spans="1:5" x14ac:dyDescent="0.2">
      <c r="A130" t="s">
        <v>1</v>
      </c>
      <c r="B130">
        <v>20</v>
      </c>
      <c r="C130" s="1">
        <v>246.10874796554674</v>
      </c>
      <c r="D130" s="1">
        <v>17.891013230722514</v>
      </c>
      <c r="E130" t="s">
        <v>10</v>
      </c>
    </row>
    <row r="131" spans="1:5" x14ac:dyDescent="0.2">
      <c r="A131" t="s">
        <v>1</v>
      </c>
      <c r="B131">
        <v>35</v>
      </c>
      <c r="C131" s="1">
        <v>260.0152316529859</v>
      </c>
      <c r="D131" s="1">
        <v>21.465217663361258</v>
      </c>
      <c r="E131" t="s">
        <v>10</v>
      </c>
    </row>
    <row r="132" spans="1:5" x14ac:dyDescent="0.2">
      <c r="A132" t="s">
        <v>1</v>
      </c>
      <c r="B132">
        <v>13</v>
      </c>
      <c r="C132" s="1">
        <v>268.12766866645791</v>
      </c>
      <c r="D132" s="1">
        <v>13.330477275669242</v>
      </c>
      <c r="E132" t="s">
        <v>10</v>
      </c>
    </row>
    <row r="133" spans="1:5" x14ac:dyDescent="0.2">
      <c r="A133" t="s">
        <v>1</v>
      </c>
      <c r="B133">
        <v>50</v>
      </c>
      <c r="C133" s="1">
        <v>269.23705173375981</v>
      </c>
      <c r="D133" s="1">
        <v>18.065617750950445</v>
      </c>
      <c r="E133" t="s">
        <v>10</v>
      </c>
    </row>
    <row r="134" spans="1:5" x14ac:dyDescent="0.2">
      <c r="A134" t="s">
        <v>1</v>
      </c>
      <c r="B134">
        <v>52</v>
      </c>
      <c r="C134" s="1">
        <v>269.37848345647666</v>
      </c>
      <c r="D134" s="1">
        <v>13.810486950703101</v>
      </c>
      <c r="E134" t="s">
        <v>10</v>
      </c>
    </row>
    <row r="135" spans="1:5" x14ac:dyDescent="0.2">
      <c r="A135" t="s">
        <v>1</v>
      </c>
      <c r="B135">
        <v>30</v>
      </c>
      <c r="C135" s="1">
        <v>273.63431339321278</v>
      </c>
      <c r="D135" s="1">
        <v>14.682619994964018</v>
      </c>
      <c r="E135" t="s">
        <v>10</v>
      </c>
    </row>
    <row r="136" spans="1:5" x14ac:dyDescent="0.2">
      <c r="A136" t="s">
        <v>1</v>
      </c>
      <c r="B136">
        <v>21</v>
      </c>
      <c r="C136" s="1">
        <v>291.67649332356086</v>
      </c>
      <c r="D136" s="1">
        <v>15.913249869372608</v>
      </c>
      <c r="E136" t="s">
        <v>10</v>
      </c>
    </row>
    <row r="137" spans="1:5" x14ac:dyDescent="0.2">
      <c r="A137" t="s">
        <v>1</v>
      </c>
      <c r="B137">
        <v>14</v>
      </c>
      <c r="C137" s="1">
        <v>292.9170779799656</v>
      </c>
      <c r="D137" s="1">
        <v>27.84537735253879</v>
      </c>
      <c r="E137" t="s">
        <v>10</v>
      </c>
    </row>
    <row r="138" spans="1:5" x14ac:dyDescent="0.2">
      <c r="A138" t="s">
        <v>1</v>
      </c>
      <c r="B138">
        <v>27</v>
      </c>
      <c r="C138" s="1">
        <v>297.57294586264607</v>
      </c>
      <c r="D138" s="1">
        <v>18.157469391681154</v>
      </c>
      <c r="E138" t="s">
        <v>10</v>
      </c>
    </row>
    <row r="139" spans="1:5" x14ac:dyDescent="0.2">
      <c r="A139" t="s">
        <v>1</v>
      </c>
      <c r="B139">
        <v>19</v>
      </c>
      <c r="C139" s="1">
        <v>300.34692628001915</v>
      </c>
      <c r="D139" s="1">
        <v>14.708616583790139</v>
      </c>
      <c r="E139" t="s">
        <v>10</v>
      </c>
    </row>
    <row r="140" spans="1:5" x14ac:dyDescent="0.2">
      <c r="A140" t="s">
        <v>1</v>
      </c>
      <c r="B140">
        <v>13</v>
      </c>
      <c r="C140" s="1">
        <v>302.60743753033546</v>
      </c>
      <c r="D140" s="1">
        <v>22.651906137298468</v>
      </c>
      <c r="E140" t="s">
        <v>10</v>
      </c>
    </row>
    <row r="141" spans="1:5" x14ac:dyDescent="0.2">
      <c r="A141" t="s">
        <v>1</v>
      </c>
      <c r="B141">
        <v>32</v>
      </c>
      <c r="C141" s="1">
        <v>315.24807589468685</v>
      </c>
      <c r="D141" s="1">
        <v>20.452039715776998</v>
      </c>
      <c r="E141" t="s">
        <v>10</v>
      </c>
    </row>
    <row r="142" spans="1:5" x14ac:dyDescent="0.2">
      <c r="A142" t="s">
        <v>1</v>
      </c>
      <c r="B142">
        <v>55</v>
      </c>
      <c r="C142" s="1">
        <v>318.72118832110533</v>
      </c>
      <c r="D142" s="1">
        <v>14.339103985809681</v>
      </c>
      <c r="E142" t="s">
        <v>10</v>
      </c>
    </row>
    <row r="143" spans="1:5" x14ac:dyDescent="0.2">
      <c r="A143" t="s">
        <v>1</v>
      </c>
      <c r="B143">
        <v>42</v>
      </c>
      <c r="C143" s="1">
        <v>325.09444198378281</v>
      </c>
      <c r="D143" s="1">
        <v>19.219135177168543</v>
      </c>
      <c r="E143" t="s">
        <v>10</v>
      </c>
    </row>
    <row r="144" spans="1:5" x14ac:dyDescent="0.2">
      <c r="A144" t="s">
        <v>1</v>
      </c>
      <c r="B144">
        <v>24</v>
      </c>
      <c r="C144" s="1">
        <v>341.82283568670027</v>
      </c>
      <c r="D144" s="1">
        <v>17.002773843678384</v>
      </c>
      <c r="E144" t="s">
        <v>10</v>
      </c>
    </row>
    <row r="145" spans="1:5" x14ac:dyDescent="0.2">
      <c r="A145" t="s">
        <v>1</v>
      </c>
      <c r="B145">
        <v>9</v>
      </c>
      <c r="C145" s="1">
        <v>348.29187314876856</v>
      </c>
      <c r="D145" s="1">
        <v>22.305771563087276</v>
      </c>
      <c r="E145" t="s">
        <v>10</v>
      </c>
    </row>
    <row r="146" spans="1:5" x14ac:dyDescent="0.2">
      <c r="A146" t="s">
        <v>1</v>
      </c>
      <c r="B146">
        <v>57</v>
      </c>
      <c r="C146" s="1">
        <v>351.13905141342616</v>
      </c>
      <c r="D146" s="1">
        <v>19.837148253338651</v>
      </c>
      <c r="E146" t="s">
        <v>10</v>
      </c>
    </row>
    <row r="147" spans="1:5" x14ac:dyDescent="0.2">
      <c r="A147" t="s">
        <v>1</v>
      </c>
      <c r="B147">
        <v>26</v>
      </c>
      <c r="C147" s="1">
        <v>354.29346710281345</v>
      </c>
      <c r="D147" s="1">
        <v>26.136833582825847</v>
      </c>
      <c r="E147" t="s">
        <v>10</v>
      </c>
    </row>
    <row r="148" spans="1:5" x14ac:dyDescent="0.2">
      <c r="A148" t="s">
        <v>1</v>
      </c>
      <c r="B148">
        <v>12</v>
      </c>
      <c r="C148" s="1">
        <v>354.49580445236018</v>
      </c>
      <c r="D148" s="1">
        <v>18.413019712877531</v>
      </c>
      <c r="E148" t="s">
        <v>10</v>
      </c>
    </row>
    <row r="149" spans="1:5" x14ac:dyDescent="0.2">
      <c r="A149" t="s">
        <v>1</v>
      </c>
      <c r="B149">
        <v>35</v>
      </c>
      <c r="C149" s="1">
        <v>355.25668996264358</v>
      </c>
      <c r="D149" s="1">
        <v>15.999941598969182</v>
      </c>
      <c r="E149" t="s">
        <v>10</v>
      </c>
    </row>
    <row r="150" spans="1:5" x14ac:dyDescent="0.2">
      <c r="A150" t="s">
        <v>1</v>
      </c>
      <c r="B150">
        <v>22</v>
      </c>
      <c r="C150" s="1">
        <v>362.95239232320722</v>
      </c>
      <c r="D150" s="1">
        <v>21.860224765036882</v>
      </c>
      <c r="E150" t="s">
        <v>10</v>
      </c>
    </row>
    <row r="151" spans="1:5" x14ac:dyDescent="0.2">
      <c r="A151" t="s">
        <v>1</v>
      </c>
      <c r="B151">
        <v>20</v>
      </c>
      <c r="C151" s="1">
        <v>364.28655362113363</v>
      </c>
      <c r="D151" s="1">
        <v>17.200149094005198</v>
      </c>
      <c r="E151" t="s">
        <v>10</v>
      </c>
    </row>
    <row r="152" spans="1:5" x14ac:dyDescent="0.2">
      <c r="A152" t="s">
        <v>1</v>
      </c>
      <c r="B152">
        <v>31</v>
      </c>
      <c r="C152" s="1">
        <v>364.80000731582544</v>
      </c>
      <c r="D152" s="1">
        <v>19.246521828094913</v>
      </c>
      <c r="E152" t="s">
        <v>10</v>
      </c>
    </row>
    <row r="153" spans="1:5" x14ac:dyDescent="0.2">
      <c r="A153" t="s">
        <v>1</v>
      </c>
      <c r="B153">
        <v>6</v>
      </c>
      <c r="C153" s="1">
        <v>374.36574328588262</v>
      </c>
      <c r="D153" s="1">
        <v>29.878979300254006</v>
      </c>
      <c r="E153" t="s">
        <v>10</v>
      </c>
    </row>
    <row r="154" spans="1:5" x14ac:dyDescent="0.2">
      <c r="A154" t="s">
        <v>1</v>
      </c>
      <c r="B154">
        <v>25</v>
      </c>
      <c r="C154" s="1">
        <v>375.87357436532636</v>
      </c>
      <c r="D154" s="1">
        <v>17.253918617590656</v>
      </c>
      <c r="E154" t="s">
        <v>10</v>
      </c>
    </row>
    <row r="155" spans="1:5" x14ac:dyDescent="0.2">
      <c r="A155" t="s">
        <v>1</v>
      </c>
      <c r="B155">
        <v>45</v>
      </c>
      <c r="C155" s="1">
        <v>384.34202519063825</v>
      </c>
      <c r="D155" s="1">
        <v>20.783882817040816</v>
      </c>
      <c r="E155" t="s">
        <v>10</v>
      </c>
    </row>
    <row r="156" spans="1:5" x14ac:dyDescent="0.2">
      <c r="A156" t="s">
        <v>1</v>
      </c>
      <c r="B156">
        <v>51</v>
      </c>
      <c r="C156" s="1">
        <v>393.63650290001664</v>
      </c>
      <c r="D156" s="1">
        <v>18.838265524767792</v>
      </c>
      <c r="E156" t="s">
        <v>10</v>
      </c>
    </row>
    <row r="157" spans="1:5" x14ac:dyDescent="0.2">
      <c r="A157" t="s">
        <v>1</v>
      </c>
      <c r="B157">
        <v>60</v>
      </c>
      <c r="C157" s="1">
        <v>395.30900367654755</v>
      </c>
      <c r="D157" s="1">
        <v>17.632596529576325</v>
      </c>
      <c r="E157" t="s">
        <v>10</v>
      </c>
    </row>
    <row r="158" spans="1:5" x14ac:dyDescent="0.2">
      <c r="A158" t="s">
        <v>1</v>
      </c>
      <c r="B158">
        <v>48</v>
      </c>
      <c r="C158" s="1">
        <v>396.0169192929647</v>
      </c>
      <c r="D158" s="1">
        <v>14.423483940414563</v>
      </c>
      <c r="E158" t="s">
        <v>10</v>
      </c>
    </row>
    <row r="159" spans="1:5" x14ac:dyDescent="0.2">
      <c r="A159" t="s">
        <v>1</v>
      </c>
      <c r="B159">
        <v>41</v>
      </c>
      <c r="C159" s="1">
        <v>397.34443525221587</v>
      </c>
      <c r="D159" s="1">
        <v>17.61005690125733</v>
      </c>
      <c r="E159" t="s">
        <v>10</v>
      </c>
    </row>
    <row r="160" spans="1:5" x14ac:dyDescent="0.2">
      <c r="A160" t="s">
        <v>1</v>
      </c>
      <c r="B160">
        <v>15</v>
      </c>
      <c r="C160" s="1">
        <v>407.8611222005776</v>
      </c>
      <c r="D160" s="1">
        <v>19.950713052418877</v>
      </c>
      <c r="E160" t="s">
        <v>10</v>
      </c>
    </row>
    <row r="161" spans="1:5" x14ac:dyDescent="0.2">
      <c r="A161" t="s">
        <v>1</v>
      </c>
      <c r="B161">
        <v>35</v>
      </c>
      <c r="C161" s="1">
        <v>414.63396656812438</v>
      </c>
      <c r="D161" s="1">
        <v>21.733266943397584</v>
      </c>
      <c r="E161" t="s">
        <v>10</v>
      </c>
    </row>
    <row r="162" spans="1:5" x14ac:dyDescent="0.2">
      <c r="A162" t="s">
        <v>1</v>
      </c>
      <c r="B162">
        <v>59</v>
      </c>
      <c r="C162" s="1">
        <v>416.9180625659954</v>
      </c>
      <c r="D162" s="1">
        <v>18.599277484859176</v>
      </c>
      <c r="E162" t="s">
        <v>10</v>
      </c>
    </row>
    <row r="163" spans="1:5" x14ac:dyDescent="0.2">
      <c r="A163" t="s">
        <v>1</v>
      </c>
      <c r="B163">
        <v>11</v>
      </c>
      <c r="C163" s="1">
        <v>421.95945437276043</v>
      </c>
      <c r="D163" s="1">
        <v>13.306715060261933</v>
      </c>
      <c r="E163" t="s">
        <v>10</v>
      </c>
    </row>
    <row r="164" spans="1:5" x14ac:dyDescent="0.2">
      <c r="A164" t="s">
        <v>1</v>
      </c>
      <c r="B164">
        <v>60</v>
      </c>
      <c r="C164" s="1">
        <v>424.06497100368739</v>
      </c>
      <c r="D164" s="1">
        <v>15.645415225207177</v>
      </c>
      <c r="E164" t="s">
        <v>10</v>
      </c>
    </row>
    <row r="165" spans="1:5" x14ac:dyDescent="0.2">
      <c r="A165" t="s">
        <v>1</v>
      </c>
      <c r="B165">
        <v>52</v>
      </c>
      <c r="C165" s="1">
        <v>426.36118830377626</v>
      </c>
      <c r="D165" s="1">
        <v>13.143742093850726</v>
      </c>
      <c r="E165" t="s">
        <v>10</v>
      </c>
    </row>
    <row r="166" spans="1:5" x14ac:dyDescent="0.2">
      <c r="A166" t="s">
        <v>1</v>
      </c>
      <c r="B166">
        <v>25</v>
      </c>
      <c r="C166" s="1">
        <v>428.56911698343214</v>
      </c>
      <c r="D166" s="1">
        <v>13.104478672689769</v>
      </c>
      <c r="E166" t="s">
        <v>10</v>
      </c>
    </row>
    <row r="167" spans="1:5" x14ac:dyDescent="0.2">
      <c r="A167" t="s">
        <v>1</v>
      </c>
      <c r="B167">
        <v>6</v>
      </c>
      <c r="C167" s="1">
        <v>440.01702589462423</v>
      </c>
      <c r="D167" s="1">
        <v>20.122860211217063</v>
      </c>
      <c r="E167" t="s">
        <v>10</v>
      </c>
    </row>
    <row r="168" spans="1:5" x14ac:dyDescent="0.2">
      <c r="A168" t="s">
        <v>1</v>
      </c>
      <c r="B168">
        <v>34</v>
      </c>
      <c r="C168" s="1">
        <v>449.99842365712033</v>
      </c>
      <c r="D168" s="1">
        <v>13.590889513963864</v>
      </c>
      <c r="E168" t="s">
        <v>9</v>
      </c>
    </row>
    <row r="169" spans="1:5" x14ac:dyDescent="0.2">
      <c r="A169" t="s">
        <v>1</v>
      </c>
      <c r="B169">
        <v>39</v>
      </c>
      <c r="C169" s="1">
        <v>450.44288513097518</v>
      </c>
      <c r="D169" s="1">
        <v>13.079251652090527</v>
      </c>
      <c r="E169" t="s">
        <v>9</v>
      </c>
    </row>
    <row r="170" spans="1:5" x14ac:dyDescent="0.2">
      <c r="A170" t="s">
        <v>1</v>
      </c>
      <c r="B170">
        <v>35</v>
      </c>
      <c r="C170" s="1">
        <v>451.12273866815679</v>
      </c>
      <c r="D170" s="1">
        <v>8.6782820517883685</v>
      </c>
      <c r="E170" t="s">
        <v>9</v>
      </c>
    </row>
    <row r="171" spans="1:5" x14ac:dyDescent="0.2">
      <c r="A171" t="s">
        <v>1</v>
      </c>
      <c r="B171">
        <v>54</v>
      </c>
      <c r="C171" s="1">
        <v>453.59311809002935</v>
      </c>
      <c r="D171" s="1">
        <v>17.454518397427574</v>
      </c>
      <c r="E171" t="s">
        <v>9</v>
      </c>
    </row>
    <row r="172" spans="1:5" x14ac:dyDescent="0.2">
      <c r="A172" t="s">
        <v>1</v>
      </c>
      <c r="B172">
        <v>30</v>
      </c>
      <c r="C172" s="1">
        <v>455.11168715780303</v>
      </c>
      <c r="D172" s="1">
        <v>18.853497355592673</v>
      </c>
      <c r="E172" t="s">
        <v>9</v>
      </c>
    </row>
    <row r="173" spans="1:5" x14ac:dyDescent="0.2">
      <c r="A173" t="s">
        <v>1</v>
      </c>
      <c r="B173">
        <v>13</v>
      </c>
      <c r="C173" s="1">
        <v>468.9365492183656</v>
      </c>
      <c r="D173" s="1">
        <v>22.376260619473822</v>
      </c>
      <c r="E173" t="s">
        <v>9</v>
      </c>
    </row>
    <row r="174" spans="1:5" x14ac:dyDescent="0.2">
      <c r="A174" t="s">
        <v>1</v>
      </c>
      <c r="B174">
        <v>31</v>
      </c>
      <c r="C174" s="1">
        <v>473.94396487018133</v>
      </c>
      <c r="D174" s="1">
        <v>12.349061354540817</v>
      </c>
      <c r="E174" t="s">
        <v>9</v>
      </c>
    </row>
    <row r="175" spans="1:5" x14ac:dyDescent="0.2">
      <c r="A175" t="s">
        <v>1</v>
      </c>
      <c r="B175">
        <v>51</v>
      </c>
      <c r="C175" s="1">
        <v>483.34303072331932</v>
      </c>
      <c r="D175" s="1">
        <v>16.707998223273293</v>
      </c>
      <c r="E175" t="s">
        <v>9</v>
      </c>
    </row>
    <row r="176" spans="1:5" x14ac:dyDescent="0.2">
      <c r="A176" t="s">
        <v>1</v>
      </c>
      <c r="B176">
        <v>18</v>
      </c>
      <c r="C176" s="1">
        <v>484.9408229311253</v>
      </c>
      <c r="D176" s="1">
        <v>1.9106418033310675</v>
      </c>
      <c r="E176" t="s">
        <v>9</v>
      </c>
    </row>
    <row r="177" spans="1:5" x14ac:dyDescent="0.2">
      <c r="A177" t="s">
        <v>1</v>
      </c>
      <c r="B177">
        <v>38</v>
      </c>
      <c r="C177" s="1">
        <v>495.336273820462</v>
      </c>
      <c r="D177" s="1">
        <v>14.150081360483357</v>
      </c>
      <c r="E177" t="s">
        <v>9</v>
      </c>
    </row>
    <row r="178" spans="1:5" x14ac:dyDescent="0.2">
      <c r="A178" t="s">
        <v>1</v>
      </c>
      <c r="B178">
        <v>7</v>
      </c>
      <c r="C178" s="1">
        <v>496.72294733268564</v>
      </c>
      <c r="D178" s="1">
        <v>18.23272259614669</v>
      </c>
      <c r="E178" t="s">
        <v>9</v>
      </c>
    </row>
    <row r="179" spans="1:5" x14ac:dyDescent="0.2">
      <c r="A179" t="s">
        <v>1</v>
      </c>
      <c r="B179">
        <v>50</v>
      </c>
      <c r="C179" s="1">
        <v>501.3957950301932</v>
      </c>
      <c r="D179" s="1">
        <v>20.877755551990077</v>
      </c>
      <c r="E179" t="s">
        <v>9</v>
      </c>
    </row>
    <row r="180" spans="1:5" x14ac:dyDescent="0.2">
      <c r="A180" t="s">
        <v>1</v>
      </c>
      <c r="B180">
        <v>19</v>
      </c>
      <c r="C180" s="1">
        <v>502.54875849874048</v>
      </c>
      <c r="D180" s="1">
        <v>23.178079644090801</v>
      </c>
      <c r="E180" t="s">
        <v>9</v>
      </c>
    </row>
    <row r="181" spans="1:5" x14ac:dyDescent="0.2">
      <c r="A181" t="s">
        <v>1</v>
      </c>
      <c r="B181">
        <v>35</v>
      </c>
      <c r="C181" s="1">
        <v>505.30506291283973</v>
      </c>
      <c r="D181" s="1">
        <v>19.365361915266114</v>
      </c>
      <c r="E181" t="s">
        <v>9</v>
      </c>
    </row>
    <row r="182" spans="1:5" x14ac:dyDescent="0.2">
      <c r="A182" t="s">
        <v>1</v>
      </c>
      <c r="B182">
        <v>27</v>
      </c>
      <c r="C182" s="1">
        <v>507.4279591860992</v>
      </c>
      <c r="D182" s="1">
        <v>4.3036350230109228</v>
      </c>
      <c r="E182" t="s">
        <v>9</v>
      </c>
    </row>
    <row r="183" spans="1:5" x14ac:dyDescent="0.2">
      <c r="A183" t="s">
        <v>1</v>
      </c>
      <c r="B183">
        <v>20</v>
      </c>
      <c r="C183" s="1">
        <v>510.63151675593576</v>
      </c>
      <c r="D183" s="1">
        <v>19.153201923256184</v>
      </c>
      <c r="E183" t="s">
        <v>9</v>
      </c>
    </row>
    <row r="184" spans="1:5" x14ac:dyDescent="0.2">
      <c r="A184" t="s">
        <v>1</v>
      </c>
      <c r="B184">
        <v>37</v>
      </c>
      <c r="C184" s="1">
        <v>515.63876029379776</v>
      </c>
      <c r="D184" s="1">
        <v>19.392986309009309</v>
      </c>
      <c r="E184" t="s">
        <v>9</v>
      </c>
    </row>
    <row r="185" spans="1:5" x14ac:dyDescent="0.2">
      <c r="A185" t="s">
        <v>1</v>
      </c>
      <c r="B185">
        <v>46</v>
      </c>
      <c r="C185" s="1">
        <v>523.56863772308861</v>
      </c>
      <c r="D185" s="1">
        <v>9.8010291932559568</v>
      </c>
      <c r="E185" t="s">
        <v>9</v>
      </c>
    </row>
    <row r="186" spans="1:5" x14ac:dyDescent="0.2">
      <c r="A186" t="s">
        <v>1</v>
      </c>
      <c r="B186">
        <v>17</v>
      </c>
      <c r="C186" s="1">
        <v>523.6082897982003</v>
      </c>
      <c r="D186" s="1">
        <v>18.419567682209173</v>
      </c>
      <c r="E186" t="s">
        <v>9</v>
      </c>
    </row>
    <row r="187" spans="1:5" x14ac:dyDescent="0.2">
      <c r="A187" t="s">
        <v>1</v>
      </c>
      <c r="B187">
        <v>24</v>
      </c>
      <c r="C187" s="1">
        <v>534.6751337869855</v>
      </c>
      <c r="D187" s="1">
        <v>22.480850777523749</v>
      </c>
      <c r="E187" t="s">
        <v>9</v>
      </c>
    </row>
    <row r="188" spans="1:5" x14ac:dyDescent="0.2">
      <c r="A188" t="s">
        <v>1</v>
      </c>
      <c r="B188">
        <v>14</v>
      </c>
      <c r="C188" s="1">
        <v>536.84551920047056</v>
      </c>
      <c r="D188" s="1">
        <v>21.431233817117644</v>
      </c>
      <c r="E188" t="s">
        <v>9</v>
      </c>
    </row>
    <row r="189" spans="1:5" x14ac:dyDescent="0.2">
      <c r="A189" t="s">
        <v>1</v>
      </c>
      <c r="B189">
        <v>30</v>
      </c>
      <c r="C189" s="1">
        <v>538.41981394427694</v>
      </c>
      <c r="D189" s="1">
        <v>25.106176135879707</v>
      </c>
      <c r="E189" t="s">
        <v>9</v>
      </c>
    </row>
    <row r="190" spans="1:5" x14ac:dyDescent="0.2">
      <c r="A190" t="s">
        <v>1</v>
      </c>
      <c r="B190">
        <v>16</v>
      </c>
      <c r="C190" s="1">
        <v>540.8502967751881</v>
      </c>
      <c r="D190" s="1">
        <v>22.209100130245822</v>
      </c>
      <c r="E190" t="s">
        <v>9</v>
      </c>
    </row>
    <row r="191" spans="1:5" x14ac:dyDescent="0.2">
      <c r="A191" t="s">
        <v>1</v>
      </c>
      <c r="B191">
        <v>40</v>
      </c>
      <c r="C191" s="1">
        <v>545.70612870676416</v>
      </c>
      <c r="D191" s="1">
        <v>20.207556038866315</v>
      </c>
      <c r="E191" t="s">
        <v>9</v>
      </c>
    </row>
    <row r="192" spans="1:5" x14ac:dyDescent="0.2">
      <c r="A192" t="s">
        <v>1</v>
      </c>
      <c r="B192">
        <v>29</v>
      </c>
      <c r="C192" s="1">
        <v>545.71637200779514</v>
      </c>
      <c r="D192" s="1">
        <v>24.682577239281912</v>
      </c>
      <c r="E192" t="s">
        <v>9</v>
      </c>
    </row>
    <row r="193" spans="1:5" x14ac:dyDescent="0.2">
      <c r="A193" t="s">
        <v>1</v>
      </c>
      <c r="B193">
        <v>36</v>
      </c>
      <c r="C193" s="1">
        <v>564.79669779885194</v>
      </c>
      <c r="D193" s="1">
        <v>10.266922216704156</v>
      </c>
      <c r="E193" t="s">
        <v>9</v>
      </c>
    </row>
    <row r="194" spans="1:5" x14ac:dyDescent="0.2">
      <c r="A194" t="s">
        <v>1</v>
      </c>
      <c r="B194">
        <v>15</v>
      </c>
      <c r="C194" s="1">
        <v>572.96387590487393</v>
      </c>
      <c r="D194" s="1">
        <v>17.213788659597803</v>
      </c>
      <c r="E194" t="s">
        <v>9</v>
      </c>
    </row>
    <row r="195" spans="1:5" x14ac:dyDescent="0.2">
      <c r="A195" t="s">
        <v>1</v>
      </c>
      <c r="B195">
        <v>22</v>
      </c>
      <c r="C195" s="1">
        <v>579.1969941207476</v>
      </c>
      <c r="D195" s="1">
        <v>19.287224221993647</v>
      </c>
      <c r="E195" t="s">
        <v>9</v>
      </c>
    </row>
    <row r="196" spans="1:5" x14ac:dyDescent="0.2">
      <c r="A196" t="s">
        <v>1</v>
      </c>
      <c r="B196">
        <v>12</v>
      </c>
      <c r="C196" s="1">
        <v>584.7236694004082</v>
      </c>
      <c r="D196" s="1">
        <v>8.7054670220550996</v>
      </c>
      <c r="E196" t="s">
        <v>9</v>
      </c>
    </row>
    <row r="197" spans="1:5" x14ac:dyDescent="0.2">
      <c r="A197" t="s">
        <v>1</v>
      </c>
      <c r="B197">
        <v>51</v>
      </c>
      <c r="C197" s="1">
        <v>586.60967126931018</v>
      </c>
      <c r="D197" s="1">
        <v>14.677020620769859</v>
      </c>
      <c r="E197" t="s">
        <v>9</v>
      </c>
    </row>
    <row r="198" spans="1:5" x14ac:dyDescent="0.2">
      <c r="A198" t="s">
        <v>1</v>
      </c>
      <c r="B198">
        <v>31</v>
      </c>
      <c r="C198" s="1">
        <v>589.65005976824148</v>
      </c>
      <c r="D198" s="1">
        <v>14.976340327050231</v>
      </c>
      <c r="E198" t="s">
        <v>9</v>
      </c>
    </row>
    <row r="199" spans="1:5" x14ac:dyDescent="0.2">
      <c r="A199" t="s">
        <v>1</v>
      </c>
      <c r="B199">
        <v>23</v>
      </c>
      <c r="C199" s="1">
        <v>590.64390709381382</v>
      </c>
      <c r="D199" s="1">
        <v>25.344909671009678</v>
      </c>
      <c r="E199" t="s">
        <v>9</v>
      </c>
    </row>
    <row r="200" spans="1:5" x14ac:dyDescent="0.2">
      <c r="A200" t="s">
        <v>1</v>
      </c>
      <c r="B200">
        <v>5</v>
      </c>
      <c r="C200" s="1">
        <v>596.1211299803831</v>
      </c>
      <c r="D200" s="1">
        <v>17.140457308297265</v>
      </c>
      <c r="E200" t="s">
        <v>9</v>
      </c>
    </row>
  </sheetData>
  <sortState xmlns:xlrd2="http://schemas.microsoft.com/office/spreadsheetml/2017/richdata2" ref="A2:D200">
    <sortCondition ref="A2:A200"/>
    <sortCondition ref="C2:C2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topLeftCell="A92" workbookViewId="0">
      <selection activeCell="H37" sqref="H37"/>
    </sheetView>
  </sheetViews>
  <sheetFormatPr baseColWidth="10" defaultColWidth="8.83203125" defaultRowHeight="15" x14ac:dyDescent="0.2"/>
  <cols>
    <col min="2" max="3" width="9.1640625" style="1"/>
  </cols>
  <sheetData>
    <row r="1" spans="1:7" ht="26" x14ac:dyDescent="0.3">
      <c r="A1" t="s">
        <v>0</v>
      </c>
      <c r="B1" s="1" t="s">
        <v>5</v>
      </c>
      <c r="C1" s="1" t="s">
        <v>6</v>
      </c>
      <c r="G1" s="2" t="s">
        <v>15</v>
      </c>
    </row>
    <row r="2" spans="1:7" x14ac:dyDescent="0.2">
      <c r="A2" t="s">
        <v>2</v>
      </c>
      <c r="B2" s="1">
        <v>725</v>
      </c>
      <c r="C2" s="1">
        <v>1.0040563252193202</v>
      </c>
    </row>
    <row r="3" spans="1:7" x14ac:dyDescent="0.2">
      <c r="A3" t="s">
        <v>2</v>
      </c>
      <c r="B3" s="1">
        <v>487</v>
      </c>
      <c r="C3" s="1">
        <v>20.272206997406297</v>
      </c>
    </row>
    <row r="4" spans="1:7" x14ac:dyDescent="0.2">
      <c r="A4" t="s">
        <v>2</v>
      </c>
      <c r="B4" s="1">
        <v>710</v>
      </c>
      <c r="C4" s="1">
        <v>18.476064673997595</v>
      </c>
    </row>
    <row r="5" spans="1:7" x14ac:dyDescent="0.2">
      <c r="A5" t="s">
        <v>2</v>
      </c>
      <c r="B5" s="1">
        <v>647</v>
      </c>
      <c r="C5" s="1">
        <v>31.725475744212595</v>
      </c>
    </row>
    <row r="6" spans="1:7" x14ac:dyDescent="0.2">
      <c r="A6" t="s">
        <v>2</v>
      </c>
      <c r="B6" s="1">
        <v>402</v>
      </c>
      <c r="C6" s="1">
        <v>9.2195867465189743</v>
      </c>
    </row>
    <row r="7" spans="1:7" x14ac:dyDescent="0.2">
      <c r="A7" t="s">
        <v>2</v>
      </c>
      <c r="B7" s="1">
        <v>696</v>
      </c>
      <c r="C7" s="1">
        <v>11.949322295415838</v>
      </c>
    </row>
    <row r="8" spans="1:7" x14ac:dyDescent="0.2">
      <c r="A8" t="s">
        <v>2</v>
      </c>
      <c r="B8" s="1">
        <v>418</v>
      </c>
      <c r="C8" s="1">
        <v>25.855925805472172</v>
      </c>
    </row>
    <row r="9" spans="1:7" x14ac:dyDescent="0.2">
      <c r="A9" t="s">
        <v>2</v>
      </c>
      <c r="B9" s="1">
        <v>718</v>
      </c>
      <c r="C9" s="1">
        <v>9.9004647250945688</v>
      </c>
    </row>
    <row r="10" spans="1:7" x14ac:dyDescent="0.2">
      <c r="A10" t="s">
        <v>2</v>
      </c>
      <c r="B10" s="1">
        <v>523</v>
      </c>
      <c r="C10" s="1">
        <v>19.197848875627077</v>
      </c>
    </row>
    <row r="11" spans="1:7" x14ac:dyDescent="0.2">
      <c r="A11" t="s">
        <v>2</v>
      </c>
      <c r="B11" s="1">
        <v>660</v>
      </c>
      <c r="C11" s="1">
        <v>15.95089374540351</v>
      </c>
    </row>
    <row r="12" spans="1:7" x14ac:dyDescent="0.2">
      <c r="A12" t="s">
        <v>2</v>
      </c>
      <c r="B12" s="1">
        <v>611</v>
      </c>
      <c r="C12" s="1">
        <v>19.112449828146644</v>
      </c>
    </row>
    <row r="13" spans="1:7" x14ac:dyDescent="0.2">
      <c r="A13" t="s">
        <v>2</v>
      </c>
      <c r="B13" s="1">
        <v>678</v>
      </c>
      <c r="C13" s="1">
        <v>23.484551252781124</v>
      </c>
    </row>
    <row r="14" spans="1:7" x14ac:dyDescent="0.2">
      <c r="A14" t="s">
        <v>2</v>
      </c>
      <c r="B14" s="1">
        <v>422</v>
      </c>
      <c r="C14" s="1">
        <v>12.287693283858466</v>
      </c>
    </row>
    <row r="15" spans="1:7" x14ac:dyDescent="0.2">
      <c r="A15" t="s">
        <v>2</v>
      </c>
      <c r="B15" s="1">
        <v>588</v>
      </c>
      <c r="C15" s="1">
        <v>15.244263894126224</v>
      </c>
    </row>
    <row r="16" spans="1:7" x14ac:dyDescent="0.2">
      <c r="A16" t="s">
        <v>2</v>
      </c>
      <c r="B16" s="1">
        <v>517</v>
      </c>
      <c r="C16" s="1">
        <v>10.682359101516475</v>
      </c>
    </row>
    <row r="17" spans="1:3" x14ac:dyDescent="0.2">
      <c r="A17" t="s">
        <v>2</v>
      </c>
      <c r="B17" s="1">
        <v>681</v>
      </c>
      <c r="C17" s="1">
        <v>16.98271445720281</v>
      </c>
    </row>
    <row r="18" spans="1:3" x14ac:dyDescent="0.2">
      <c r="A18" t="s">
        <v>2</v>
      </c>
      <c r="B18" s="1">
        <v>463</v>
      </c>
      <c r="C18" s="1">
        <v>18.996537794561679</v>
      </c>
    </row>
    <row r="19" spans="1:3" x14ac:dyDescent="0.2">
      <c r="A19" t="s">
        <v>2</v>
      </c>
      <c r="B19" s="1">
        <v>490</v>
      </c>
      <c r="C19" s="1">
        <v>38.811849135012764</v>
      </c>
    </row>
    <row r="20" spans="1:3" x14ac:dyDescent="0.2">
      <c r="A20" t="s">
        <v>2</v>
      </c>
      <c r="B20" s="1">
        <v>501</v>
      </c>
      <c r="C20" s="1">
        <v>23.882117199678543</v>
      </c>
    </row>
    <row r="21" spans="1:3" x14ac:dyDescent="0.2">
      <c r="A21" t="s">
        <v>2</v>
      </c>
      <c r="B21" s="1">
        <v>462</v>
      </c>
      <c r="C21" s="1">
        <v>20.6939774008416</v>
      </c>
    </row>
    <row r="22" spans="1:3" x14ac:dyDescent="0.2">
      <c r="A22" t="s">
        <v>2</v>
      </c>
      <c r="B22" s="1">
        <v>585</v>
      </c>
      <c r="C22" s="1">
        <v>38.726924572015683</v>
      </c>
    </row>
    <row r="23" spans="1:3" x14ac:dyDescent="0.2">
      <c r="A23" t="s">
        <v>2</v>
      </c>
      <c r="B23" s="1">
        <v>657</v>
      </c>
      <c r="C23" s="1">
        <v>14.57542234479579</v>
      </c>
    </row>
    <row r="24" spans="1:3" x14ac:dyDescent="0.2">
      <c r="A24" t="s">
        <v>2</v>
      </c>
      <c r="B24" s="1">
        <v>521</v>
      </c>
      <c r="C24" s="1">
        <v>24.371666838929755</v>
      </c>
    </row>
    <row r="25" spans="1:3" x14ac:dyDescent="0.2">
      <c r="A25" t="s">
        <v>2</v>
      </c>
      <c r="B25" s="1">
        <v>467</v>
      </c>
      <c r="C25" s="1">
        <v>38.690373855082456</v>
      </c>
    </row>
    <row r="26" spans="1:3" x14ac:dyDescent="0.2">
      <c r="A26" t="s">
        <v>2</v>
      </c>
      <c r="B26" s="1">
        <v>488</v>
      </c>
      <c r="C26" s="1">
        <v>24.052337174151312</v>
      </c>
    </row>
    <row r="27" spans="1:3" x14ac:dyDescent="0.2">
      <c r="A27" t="s">
        <v>2</v>
      </c>
      <c r="B27" s="1">
        <v>519</v>
      </c>
      <c r="C27" s="1">
        <v>37.956341767898451</v>
      </c>
    </row>
    <row r="28" spans="1:3" x14ac:dyDescent="0.2">
      <c r="A28" t="s">
        <v>2</v>
      </c>
      <c r="B28" s="1">
        <v>525</v>
      </c>
      <c r="C28" s="1">
        <v>27.564492911809687</v>
      </c>
    </row>
    <row r="29" spans="1:3" x14ac:dyDescent="0.2">
      <c r="A29" t="s">
        <v>2</v>
      </c>
      <c r="B29" s="1">
        <v>600</v>
      </c>
      <c r="C29" s="1">
        <v>35.631001749204408</v>
      </c>
    </row>
    <row r="30" spans="1:3" x14ac:dyDescent="0.2">
      <c r="A30" t="s">
        <v>2</v>
      </c>
      <c r="B30" s="1">
        <v>622</v>
      </c>
      <c r="C30" s="1">
        <v>44.437735426730526</v>
      </c>
    </row>
    <row r="31" spans="1:3" x14ac:dyDescent="0.2">
      <c r="A31" t="s">
        <v>2</v>
      </c>
      <c r="B31" s="1">
        <v>550</v>
      </c>
      <c r="C31" s="1">
        <v>37.38374221544516</v>
      </c>
    </row>
    <row r="32" spans="1:3" x14ac:dyDescent="0.2">
      <c r="A32" t="s">
        <v>2</v>
      </c>
      <c r="B32" s="1">
        <v>656</v>
      </c>
      <c r="C32" s="1">
        <v>18.980515724563489</v>
      </c>
    </row>
    <row r="33" spans="1:3" x14ac:dyDescent="0.2">
      <c r="A33" t="s">
        <v>2</v>
      </c>
      <c r="B33" s="1">
        <v>540</v>
      </c>
      <c r="C33" s="1">
        <v>11.195706370618414</v>
      </c>
    </row>
    <row r="34" spans="1:3" x14ac:dyDescent="0.2">
      <c r="A34" t="s">
        <v>2</v>
      </c>
      <c r="B34" s="1">
        <v>711</v>
      </c>
      <c r="C34" s="1">
        <v>38.621036191807072</v>
      </c>
    </row>
    <row r="35" spans="1:3" x14ac:dyDescent="0.2">
      <c r="A35" t="s">
        <v>2</v>
      </c>
      <c r="B35" s="1">
        <v>629</v>
      </c>
      <c r="C35" s="1">
        <v>43.452015824627786</v>
      </c>
    </row>
    <row r="36" spans="1:3" x14ac:dyDescent="0.2">
      <c r="A36" t="s">
        <v>2</v>
      </c>
      <c r="B36" s="1">
        <v>500</v>
      </c>
      <c r="C36" s="1">
        <v>47.767118349852808</v>
      </c>
    </row>
    <row r="37" spans="1:3" x14ac:dyDescent="0.2">
      <c r="A37" t="s">
        <v>2</v>
      </c>
      <c r="B37" s="1">
        <v>512</v>
      </c>
      <c r="C37" s="1">
        <v>19.247612953550522</v>
      </c>
    </row>
    <row r="38" spans="1:3" x14ac:dyDescent="0.2">
      <c r="A38" t="s">
        <v>2</v>
      </c>
      <c r="B38" s="1">
        <v>406</v>
      </c>
      <c r="C38" s="1">
        <v>44.477629976002106</v>
      </c>
    </row>
    <row r="39" spans="1:3" x14ac:dyDescent="0.2">
      <c r="A39" t="s">
        <v>2</v>
      </c>
      <c r="B39" s="1">
        <v>743</v>
      </c>
      <c r="C39" s="1">
        <v>48.988771255021675</v>
      </c>
    </row>
    <row r="40" spans="1:3" x14ac:dyDescent="0.2">
      <c r="A40" t="s">
        <v>2</v>
      </c>
      <c r="B40" s="1">
        <v>444</v>
      </c>
      <c r="C40" s="1">
        <v>48.157830034232362</v>
      </c>
    </row>
    <row r="41" spans="1:3" x14ac:dyDescent="0.2">
      <c r="A41" t="s">
        <v>2</v>
      </c>
      <c r="B41" s="1">
        <v>522</v>
      </c>
      <c r="C41" s="1">
        <v>5.5746174672504676</v>
      </c>
    </row>
    <row r="42" spans="1:3" x14ac:dyDescent="0.2">
      <c r="A42" t="s">
        <v>2</v>
      </c>
      <c r="B42" s="1">
        <v>588</v>
      </c>
      <c r="C42" s="1">
        <v>30.862387042417112</v>
      </c>
    </row>
    <row r="43" spans="1:3" x14ac:dyDescent="0.2">
      <c r="A43" t="s">
        <v>2</v>
      </c>
      <c r="B43" s="1">
        <v>517</v>
      </c>
      <c r="C43" s="1">
        <v>50.814757912389581</v>
      </c>
    </row>
    <row r="44" spans="1:3" x14ac:dyDescent="0.2">
      <c r="A44" t="s">
        <v>2</v>
      </c>
      <c r="B44" s="1">
        <v>411</v>
      </c>
      <c r="C44" s="1">
        <v>32.282642130055741</v>
      </c>
    </row>
    <row r="45" spans="1:3" x14ac:dyDescent="0.2">
      <c r="A45" t="s">
        <v>2</v>
      </c>
      <c r="B45" s="1">
        <v>439</v>
      </c>
      <c r="C45" s="1">
        <v>24.127429098634373</v>
      </c>
    </row>
    <row r="46" spans="1:3" x14ac:dyDescent="0.2">
      <c r="A46" t="s">
        <v>2</v>
      </c>
      <c r="B46" s="1">
        <v>741</v>
      </c>
      <c r="C46" s="1">
        <v>11.682544893849441</v>
      </c>
    </row>
    <row r="47" spans="1:3" x14ac:dyDescent="0.2">
      <c r="A47" t="s">
        <v>2</v>
      </c>
      <c r="B47" s="1">
        <v>541</v>
      </c>
      <c r="C47" s="1">
        <v>41.763496646548155</v>
      </c>
    </row>
    <row r="48" spans="1:3" x14ac:dyDescent="0.2">
      <c r="A48" t="s">
        <v>2</v>
      </c>
      <c r="B48" s="1">
        <v>686</v>
      </c>
      <c r="C48" s="1">
        <v>18.976571474550653</v>
      </c>
    </row>
    <row r="49" spans="1:3" x14ac:dyDescent="0.2">
      <c r="A49" t="s">
        <v>2</v>
      </c>
      <c r="B49" s="1">
        <v>710</v>
      </c>
      <c r="C49" s="1">
        <v>51.000844390452855</v>
      </c>
    </row>
    <row r="50" spans="1:3" x14ac:dyDescent="0.2">
      <c r="A50" t="s">
        <v>2</v>
      </c>
      <c r="B50" s="1">
        <v>634</v>
      </c>
      <c r="C50" s="1">
        <v>58.816273292149894</v>
      </c>
    </row>
    <row r="51" spans="1:3" x14ac:dyDescent="0.2">
      <c r="A51" t="s">
        <v>2</v>
      </c>
      <c r="B51" s="1">
        <v>566</v>
      </c>
      <c r="C51" s="1">
        <v>39.483634978900156</v>
      </c>
    </row>
    <row r="52" spans="1:3" x14ac:dyDescent="0.2">
      <c r="A52" t="s">
        <v>2</v>
      </c>
      <c r="B52" s="1">
        <v>695</v>
      </c>
      <c r="C52" s="1">
        <v>37.73299139272148</v>
      </c>
    </row>
    <row r="53" spans="1:3" x14ac:dyDescent="0.2">
      <c r="A53" t="s">
        <v>2</v>
      </c>
      <c r="B53" s="1">
        <v>726</v>
      </c>
      <c r="C53" s="1">
        <v>25.248305211975364</v>
      </c>
    </row>
    <row r="54" spans="1:3" x14ac:dyDescent="0.2">
      <c r="A54" t="s">
        <v>2</v>
      </c>
      <c r="B54" s="1">
        <v>434</v>
      </c>
      <c r="C54" s="1">
        <v>31.868885748495728</v>
      </c>
    </row>
    <row r="55" spans="1:3" x14ac:dyDescent="0.2">
      <c r="A55" t="s">
        <v>2</v>
      </c>
      <c r="B55" s="1">
        <v>581</v>
      </c>
      <c r="C55" s="1">
        <v>29.94563003203298</v>
      </c>
    </row>
    <row r="56" spans="1:3" x14ac:dyDescent="0.2">
      <c r="A56" t="s">
        <v>2</v>
      </c>
      <c r="B56" s="1">
        <v>733</v>
      </c>
      <c r="C56" s="1">
        <v>25.199544314031471</v>
      </c>
    </row>
    <row r="57" spans="1:3" x14ac:dyDescent="0.2">
      <c r="A57" t="s">
        <v>2</v>
      </c>
      <c r="B57" s="1">
        <v>719</v>
      </c>
      <c r="C57" s="1">
        <v>47.997719505009364</v>
      </c>
    </row>
    <row r="58" spans="1:3" x14ac:dyDescent="0.2">
      <c r="A58" t="s">
        <v>2</v>
      </c>
      <c r="B58" s="1">
        <v>497</v>
      </c>
      <c r="C58" s="1">
        <v>57.570114063967139</v>
      </c>
    </row>
    <row r="59" spans="1:3" x14ac:dyDescent="0.2">
      <c r="A59" t="s">
        <v>2</v>
      </c>
      <c r="B59" s="1">
        <v>728</v>
      </c>
      <c r="C59" s="1">
        <v>40.85920308460102</v>
      </c>
    </row>
    <row r="60" spans="1:3" x14ac:dyDescent="0.2">
      <c r="A60" t="s">
        <v>2</v>
      </c>
      <c r="B60" s="1">
        <v>634</v>
      </c>
      <c r="C60" s="1">
        <v>42.325692966706015</v>
      </c>
    </row>
    <row r="61" spans="1:3" x14ac:dyDescent="0.2">
      <c r="A61" t="s">
        <v>2</v>
      </c>
      <c r="B61" s="1">
        <v>728</v>
      </c>
      <c r="C61" s="1">
        <v>47.028425728896011</v>
      </c>
    </row>
    <row r="62" spans="1:3" x14ac:dyDescent="0.2">
      <c r="A62" t="s">
        <v>2</v>
      </c>
      <c r="B62" s="1">
        <v>647</v>
      </c>
      <c r="C62" s="1">
        <v>28.580703040367851</v>
      </c>
    </row>
    <row r="63" spans="1:3" x14ac:dyDescent="0.2">
      <c r="A63" t="s">
        <v>2</v>
      </c>
      <c r="B63" s="1">
        <v>623</v>
      </c>
      <c r="C63" s="1">
        <v>21.243402054727127</v>
      </c>
    </row>
    <row r="64" spans="1:3" x14ac:dyDescent="0.2">
      <c r="A64" t="s">
        <v>2</v>
      </c>
      <c r="B64" s="1">
        <v>497</v>
      </c>
      <c r="C64" s="1">
        <v>27.329414981251254</v>
      </c>
    </row>
    <row r="65" spans="1:3" x14ac:dyDescent="0.2">
      <c r="A65" t="s">
        <v>2</v>
      </c>
      <c r="B65" s="1">
        <v>530</v>
      </c>
      <c r="C65" s="1">
        <v>52.913943168603566</v>
      </c>
    </row>
    <row r="66" spans="1:3" x14ac:dyDescent="0.2">
      <c r="A66" t="s">
        <v>2</v>
      </c>
      <c r="B66" s="1">
        <v>499</v>
      </c>
      <c r="C66" s="1">
        <v>19.058992254303561</v>
      </c>
    </row>
    <row r="67" spans="1:3" x14ac:dyDescent="0.2">
      <c r="A67" t="s">
        <v>2</v>
      </c>
      <c r="B67" s="1">
        <v>605</v>
      </c>
      <c r="C67" s="1">
        <v>14.206341799162939</v>
      </c>
    </row>
    <row r="68" spans="1:3" x14ac:dyDescent="0.2">
      <c r="A68" t="s">
        <v>2</v>
      </c>
      <c r="B68" s="1">
        <v>582</v>
      </c>
      <c r="C68" s="1">
        <v>10.551984245559298</v>
      </c>
    </row>
    <row r="69" spans="1:3" x14ac:dyDescent="0.2">
      <c r="A69" t="s">
        <v>2</v>
      </c>
      <c r="B69" s="1">
        <v>649</v>
      </c>
      <c r="C69" s="1">
        <v>38.624573779226239</v>
      </c>
    </row>
    <row r="70" spans="1:3" x14ac:dyDescent="0.2">
      <c r="A70" t="s">
        <v>2</v>
      </c>
      <c r="B70" s="1">
        <v>596</v>
      </c>
      <c r="C70" s="1">
        <v>48.173159136872172</v>
      </c>
    </row>
    <row r="71" spans="1:3" x14ac:dyDescent="0.2">
      <c r="A71" t="s">
        <v>2</v>
      </c>
      <c r="B71" s="1">
        <v>619</v>
      </c>
      <c r="C71" s="1">
        <v>41.798384205218987</v>
      </c>
    </row>
    <row r="72" spans="1:3" x14ac:dyDescent="0.2">
      <c r="A72" t="s">
        <v>2</v>
      </c>
      <c r="B72" s="1">
        <v>725</v>
      </c>
      <c r="C72" s="1">
        <v>19.006873129181113</v>
      </c>
    </row>
    <row r="73" spans="1:3" x14ac:dyDescent="0.2">
      <c r="A73" t="s">
        <v>2</v>
      </c>
      <c r="B73" s="1">
        <v>533</v>
      </c>
      <c r="C73" s="1">
        <v>61.686332385483666</v>
      </c>
    </row>
    <row r="74" spans="1:3" x14ac:dyDescent="0.2">
      <c r="A74" t="s">
        <v>2</v>
      </c>
      <c r="B74" s="1">
        <v>662</v>
      </c>
      <c r="C74" s="1">
        <v>37.116204389551505</v>
      </c>
    </row>
    <row r="75" spans="1:3" x14ac:dyDescent="0.2">
      <c r="A75" t="s">
        <v>2</v>
      </c>
      <c r="B75" s="1">
        <v>585</v>
      </c>
      <c r="C75" s="1">
        <v>19.817799566500206</v>
      </c>
    </row>
    <row r="76" spans="1:3" x14ac:dyDescent="0.2">
      <c r="A76" t="s">
        <v>2</v>
      </c>
      <c r="B76" s="1">
        <v>672</v>
      </c>
      <c r="C76" s="1">
        <v>3.8127655338690105</v>
      </c>
    </row>
    <row r="77" spans="1:3" x14ac:dyDescent="0.2">
      <c r="A77" t="s">
        <v>2</v>
      </c>
      <c r="B77" s="1">
        <v>632</v>
      </c>
      <c r="C77" s="1">
        <v>57.393192536686186</v>
      </c>
    </row>
    <row r="78" spans="1:3" x14ac:dyDescent="0.2">
      <c r="A78" t="s">
        <v>2</v>
      </c>
      <c r="B78" s="1">
        <v>651</v>
      </c>
      <c r="C78" s="1">
        <v>33.221378031319475</v>
      </c>
    </row>
    <row r="79" spans="1:3" x14ac:dyDescent="0.2">
      <c r="A79" t="s">
        <v>2</v>
      </c>
      <c r="B79" s="1">
        <v>669</v>
      </c>
      <c r="C79" s="1">
        <v>36.378518438341757</v>
      </c>
    </row>
    <row r="80" spans="1:3" x14ac:dyDescent="0.2">
      <c r="A80" t="s">
        <v>2</v>
      </c>
      <c r="B80" s="1">
        <v>654</v>
      </c>
      <c r="C80" s="1">
        <v>52.479857161058852</v>
      </c>
    </row>
    <row r="81" spans="1:3" x14ac:dyDescent="0.2">
      <c r="A81" t="s">
        <v>2</v>
      </c>
      <c r="B81" s="1">
        <v>552</v>
      </c>
      <c r="C81" s="1">
        <v>20.866554833320166</v>
      </c>
    </row>
    <row r="82" spans="1:3" x14ac:dyDescent="0.2">
      <c r="A82" t="s">
        <v>2</v>
      </c>
      <c r="B82" s="1">
        <v>440</v>
      </c>
      <c r="C82" s="1">
        <v>24.422081799964893</v>
      </c>
    </row>
    <row r="83" spans="1:3" x14ac:dyDescent="0.2">
      <c r="A83" t="s">
        <v>2</v>
      </c>
      <c r="B83" s="1">
        <v>505</v>
      </c>
      <c r="C83" s="1">
        <v>51.405162316976231</v>
      </c>
    </row>
    <row r="84" spans="1:3" x14ac:dyDescent="0.2">
      <c r="A84" t="s">
        <v>2</v>
      </c>
      <c r="B84" s="1">
        <v>717</v>
      </c>
      <c r="C84" s="1">
        <v>29.821653858900174</v>
      </c>
    </row>
    <row r="85" spans="1:3" x14ac:dyDescent="0.2">
      <c r="A85" t="s">
        <v>2</v>
      </c>
      <c r="B85" s="1">
        <v>489</v>
      </c>
      <c r="C85" s="1">
        <v>17.839401760845753</v>
      </c>
    </row>
    <row r="86" spans="1:3" x14ac:dyDescent="0.2">
      <c r="A86" t="s">
        <v>2</v>
      </c>
      <c r="B86" s="1">
        <v>600</v>
      </c>
      <c r="C86" s="1">
        <v>74.266467412380024</v>
      </c>
    </row>
    <row r="87" spans="1:3" x14ac:dyDescent="0.2">
      <c r="A87" t="s">
        <v>2</v>
      </c>
      <c r="B87" s="1">
        <v>529</v>
      </c>
      <c r="C87" s="1">
        <v>27.970560029258543</v>
      </c>
    </row>
    <row r="88" spans="1:3" x14ac:dyDescent="0.2">
      <c r="A88" t="s">
        <v>2</v>
      </c>
      <c r="B88" s="1">
        <v>570</v>
      </c>
      <c r="C88" s="1">
        <v>26.996070180433321</v>
      </c>
    </row>
    <row r="89" spans="1:3" x14ac:dyDescent="0.2">
      <c r="A89" t="s">
        <v>2</v>
      </c>
      <c r="B89" s="1">
        <v>473</v>
      </c>
      <c r="C89" s="1">
        <v>41.73602250180236</v>
      </c>
    </row>
    <row r="90" spans="1:3" x14ac:dyDescent="0.2">
      <c r="A90" t="s">
        <v>2</v>
      </c>
      <c r="B90" s="1">
        <v>588</v>
      </c>
      <c r="C90" s="1">
        <v>59.632587443923768</v>
      </c>
    </row>
    <row r="91" spans="1:3" x14ac:dyDescent="0.2">
      <c r="A91" t="s">
        <v>2</v>
      </c>
      <c r="B91" s="1">
        <v>520</v>
      </c>
      <c r="C91" s="1">
        <v>61.319476522790609</v>
      </c>
    </row>
    <row r="92" spans="1:3" x14ac:dyDescent="0.2">
      <c r="A92" t="s">
        <v>2</v>
      </c>
      <c r="B92" s="1">
        <v>558</v>
      </c>
      <c r="C92" s="1">
        <v>53.976736877789278</v>
      </c>
    </row>
    <row r="93" spans="1:3" x14ac:dyDescent="0.2">
      <c r="A93" t="s">
        <v>2</v>
      </c>
      <c r="B93" s="1">
        <v>637</v>
      </c>
      <c r="C93" s="1">
        <v>3.2624698630510629</v>
      </c>
    </row>
    <row r="94" spans="1:3" x14ac:dyDescent="0.2">
      <c r="A94" t="s">
        <v>2</v>
      </c>
      <c r="B94" s="1">
        <v>509</v>
      </c>
      <c r="C94" s="1">
        <v>26.405643687222508</v>
      </c>
    </row>
    <row r="95" spans="1:3" x14ac:dyDescent="0.2">
      <c r="A95" t="s">
        <v>2</v>
      </c>
      <c r="B95" s="1">
        <v>538</v>
      </c>
      <c r="C95" s="1">
        <v>9.8519945592716685</v>
      </c>
    </row>
    <row r="96" spans="1:3" x14ac:dyDescent="0.2">
      <c r="A96" t="s">
        <v>2</v>
      </c>
      <c r="B96" s="1">
        <v>691</v>
      </c>
      <c r="C96" s="1">
        <v>59.919012378528294</v>
      </c>
    </row>
    <row r="97" spans="1:3" x14ac:dyDescent="0.2">
      <c r="A97" t="s">
        <v>2</v>
      </c>
      <c r="B97" s="1">
        <v>688</v>
      </c>
      <c r="C97" s="1">
        <v>57.759510219898488</v>
      </c>
    </row>
    <row r="98" spans="1:3" x14ac:dyDescent="0.2">
      <c r="A98" t="s">
        <v>2</v>
      </c>
      <c r="B98" s="1">
        <v>465</v>
      </c>
      <c r="C98" s="1">
        <v>8.83244812854457</v>
      </c>
    </row>
    <row r="99" spans="1:3" x14ac:dyDescent="0.2">
      <c r="A99" t="s">
        <v>2</v>
      </c>
      <c r="B99" s="1">
        <v>715</v>
      </c>
      <c r="C99" s="1">
        <v>44.463836482985123</v>
      </c>
    </row>
    <row r="100" spans="1:3" x14ac:dyDescent="0.2">
      <c r="A100" t="s">
        <v>2</v>
      </c>
      <c r="B100" s="1">
        <v>514</v>
      </c>
      <c r="C100" s="1">
        <v>40.266660537956326</v>
      </c>
    </row>
    <row r="101" spans="1:3" x14ac:dyDescent="0.2">
      <c r="A101" t="s">
        <v>2</v>
      </c>
      <c r="B101" s="1">
        <v>664</v>
      </c>
      <c r="C101" s="1">
        <v>15.597929920611183</v>
      </c>
    </row>
    <row r="102" spans="1:3" x14ac:dyDescent="0.2">
      <c r="A102" t="s">
        <v>1</v>
      </c>
      <c r="B102" s="1">
        <v>312.4148868836362</v>
      </c>
      <c r="C102" s="1">
        <v>1.9930059214751994</v>
      </c>
    </row>
    <row r="103" spans="1:3" x14ac:dyDescent="0.2">
      <c r="A103" t="s">
        <v>1</v>
      </c>
      <c r="B103" s="1">
        <v>382.58929725925208</v>
      </c>
      <c r="C103" s="1">
        <v>3.3297889640963168</v>
      </c>
    </row>
    <row r="104" spans="1:3" x14ac:dyDescent="0.2">
      <c r="A104" t="s">
        <v>1</v>
      </c>
      <c r="B104" s="1">
        <v>381.46251063904202</v>
      </c>
      <c r="C104" s="1">
        <v>4.4366620634923777</v>
      </c>
    </row>
    <row r="105" spans="1:3" x14ac:dyDescent="0.2">
      <c r="A105" t="s">
        <v>1</v>
      </c>
      <c r="B105" s="1">
        <v>300.88550154356443</v>
      </c>
      <c r="C105" s="1">
        <v>4.1582551261373322</v>
      </c>
    </row>
    <row r="106" spans="1:3" x14ac:dyDescent="0.2">
      <c r="A106" t="s">
        <v>1</v>
      </c>
      <c r="B106" s="1">
        <v>446.71165824494221</v>
      </c>
      <c r="C106" s="1">
        <v>1.1945899125549331</v>
      </c>
    </row>
    <row r="107" spans="1:3" x14ac:dyDescent="0.2">
      <c r="A107" t="s">
        <v>1</v>
      </c>
      <c r="B107" s="1">
        <v>475.81161269564456</v>
      </c>
      <c r="C107" s="1">
        <v>4.0445744550345903</v>
      </c>
    </row>
    <row r="108" spans="1:3" x14ac:dyDescent="0.2">
      <c r="A108" t="s">
        <v>1</v>
      </c>
      <c r="B108" s="1">
        <v>322.57918493938348</v>
      </c>
      <c r="C108" s="1">
        <v>5.0566843030959685</v>
      </c>
    </row>
    <row r="109" spans="1:3" x14ac:dyDescent="0.2">
      <c r="A109" t="s">
        <v>1</v>
      </c>
      <c r="B109" s="1">
        <v>524.17362263015593</v>
      </c>
      <c r="C109" s="1">
        <v>2.1442826210537591</v>
      </c>
    </row>
    <row r="110" spans="1:3" x14ac:dyDescent="0.2">
      <c r="A110" t="s">
        <v>1</v>
      </c>
      <c r="B110" s="1">
        <v>147.21816294716075</v>
      </c>
      <c r="C110" s="1">
        <v>4.8830486416210324</v>
      </c>
    </row>
    <row r="111" spans="1:3" x14ac:dyDescent="0.2">
      <c r="A111" t="s">
        <v>1</v>
      </c>
      <c r="B111" s="1">
        <v>128.07496039074087</v>
      </c>
      <c r="C111" s="1">
        <v>3.8781023084625565</v>
      </c>
    </row>
    <row r="112" spans="1:3" x14ac:dyDescent="0.2">
      <c r="A112" t="s">
        <v>1</v>
      </c>
      <c r="B112" s="1">
        <v>462.28844378887692</v>
      </c>
      <c r="C112" s="1">
        <v>5.9672390671608966</v>
      </c>
    </row>
    <row r="113" spans="1:3" x14ac:dyDescent="0.2">
      <c r="A113" t="s">
        <v>1</v>
      </c>
      <c r="B113" s="1">
        <v>516.98131155025351</v>
      </c>
      <c r="C113" s="1">
        <v>5.0900418194332318</v>
      </c>
    </row>
    <row r="114" spans="1:3" x14ac:dyDescent="0.2">
      <c r="A114" t="s">
        <v>1</v>
      </c>
      <c r="B114" s="1">
        <v>489.36853247559134</v>
      </c>
      <c r="C114" s="1">
        <v>6.015989313468455</v>
      </c>
    </row>
    <row r="115" spans="1:3" x14ac:dyDescent="0.2">
      <c r="A115" t="s">
        <v>1</v>
      </c>
      <c r="B115" s="1">
        <v>256.10329277461022</v>
      </c>
      <c r="C115" s="1">
        <v>3.758342021957207</v>
      </c>
    </row>
    <row r="116" spans="1:3" x14ac:dyDescent="0.2">
      <c r="A116" t="s">
        <v>1</v>
      </c>
      <c r="B116" s="1">
        <v>597.2599975362491</v>
      </c>
      <c r="C116" s="1">
        <v>4.574191174116339</v>
      </c>
    </row>
    <row r="117" spans="1:3" x14ac:dyDescent="0.2">
      <c r="A117" t="s">
        <v>1</v>
      </c>
      <c r="B117" s="1">
        <v>472.71621928457188</v>
      </c>
      <c r="C117" s="1">
        <v>5.3030640826680022</v>
      </c>
    </row>
    <row r="118" spans="1:3" x14ac:dyDescent="0.2">
      <c r="A118" t="s">
        <v>1</v>
      </c>
      <c r="B118" s="1">
        <v>204.68808208834622</v>
      </c>
      <c r="C118" s="1">
        <v>8.8738115428332272</v>
      </c>
    </row>
    <row r="119" spans="1:3" x14ac:dyDescent="0.2">
      <c r="A119" t="s">
        <v>1</v>
      </c>
      <c r="B119" s="1">
        <v>266.95746124503063</v>
      </c>
      <c r="C119" s="1">
        <v>11.088174375093701</v>
      </c>
    </row>
    <row r="120" spans="1:3" x14ac:dyDescent="0.2">
      <c r="A120" t="s">
        <v>1</v>
      </c>
      <c r="B120" s="1">
        <v>247.6062546062069</v>
      </c>
      <c r="C120" s="1">
        <v>12.201898261787584</v>
      </c>
    </row>
    <row r="121" spans="1:3" x14ac:dyDescent="0.2">
      <c r="A121" t="s">
        <v>1</v>
      </c>
      <c r="B121" s="1">
        <v>404.25632439154214</v>
      </c>
      <c r="C121" s="1">
        <v>6.7312520778313356</v>
      </c>
    </row>
    <row r="122" spans="1:3" x14ac:dyDescent="0.2">
      <c r="A122" t="s">
        <v>1</v>
      </c>
      <c r="B122" s="1">
        <v>445.62224424750588</v>
      </c>
      <c r="C122" s="1">
        <v>3.2777633119288154</v>
      </c>
    </row>
    <row r="123" spans="1:3" x14ac:dyDescent="0.2">
      <c r="A123" t="s">
        <v>1</v>
      </c>
      <c r="B123" s="1">
        <v>416.37622069969984</v>
      </c>
      <c r="C123" s="1">
        <v>9.4483050692574473</v>
      </c>
    </row>
    <row r="124" spans="1:3" x14ac:dyDescent="0.2">
      <c r="A124" t="s">
        <v>1</v>
      </c>
      <c r="B124" s="1">
        <v>396.91680935138777</v>
      </c>
      <c r="C124" s="1">
        <v>6.8147873454815686</v>
      </c>
    </row>
    <row r="125" spans="1:3" x14ac:dyDescent="0.2">
      <c r="A125" t="s">
        <v>1</v>
      </c>
      <c r="B125" s="1">
        <v>493.34609628961039</v>
      </c>
      <c r="C125" s="1">
        <v>9.3229581877343417</v>
      </c>
    </row>
    <row r="126" spans="1:3" x14ac:dyDescent="0.2">
      <c r="A126" t="s">
        <v>1</v>
      </c>
      <c r="B126" s="1">
        <v>593.83684364133649</v>
      </c>
      <c r="C126" s="1">
        <v>9.0963428739869698</v>
      </c>
    </row>
    <row r="127" spans="1:3" x14ac:dyDescent="0.2">
      <c r="A127" t="s">
        <v>1</v>
      </c>
      <c r="B127" s="1">
        <v>371.79686689030189</v>
      </c>
      <c r="C127" s="1">
        <v>5.6264263415658853</v>
      </c>
    </row>
    <row r="128" spans="1:3" x14ac:dyDescent="0.2">
      <c r="A128" t="s">
        <v>1</v>
      </c>
      <c r="B128" s="1">
        <v>509.81836155110227</v>
      </c>
      <c r="C128" s="1">
        <v>2.4841385193358327</v>
      </c>
    </row>
    <row r="129" spans="1:3" x14ac:dyDescent="0.2">
      <c r="A129" t="s">
        <v>1</v>
      </c>
      <c r="B129" s="1">
        <v>298.007625725352</v>
      </c>
      <c r="C129" s="1">
        <v>16.41115160991772</v>
      </c>
    </row>
    <row r="130" spans="1:3" x14ac:dyDescent="0.2">
      <c r="A130" t="s">
        <v>1</v>
      </c>
      <c r="B130" s="1">
        <v>144.04323770999108</v>
      </c>
      <c r="C130" s="1">
        <v>10.83171018941648</v>
      </c>
    </row>
    <row r="131" spans="1:3" x14ac:dyDescent="0.2">
      <c r="A131" t="s">
        <v>1</v>
      </c>
      <c r="B131" s="1">
        <v>282.43601807711093</v>
      </c>
      <c r="C131" s="1">
        <v>18.631202973836889</v>
      </c>
    </row>
    <row r="132" spans="1:3" x14ac:dyDescent="0.2">
      <c r="A132" t="s">
        <v>1</v>
      </c>
      <c r="B132" s="1">
        <v>296.93209036635221</v>
      </c>
      <c r="C132" s="1">
        <v>16.580143189923753</v>
      </c>
    </row>
    <row r="133" spans="1:3" x14ac:dyDescent="0.2">
      <c r="A133" t="s">
        <v>1</v>
      </c>
      <c r="B133" s="1">
        <v>398.30697327369228</v>
      </c>
      <c r="C133" s="1">
        <v>2.5423011045934363</v>
      </c>
    </row>
    <row r="134" spans="1:3" x14ac:dyDescent="0.2">
      <c r="A134" t="s">
        <v>1</v>
      </c>
      <c r="B134" s="1">
        <v>207.91433992214962</v>
      </c>
      <c r="C134" s="1">
        <v>18.066936178506342</v>
      </c>
    </row>
    <row r="135" spans="1:3" x14ac:dyDescent="0.2">
      <c r="A135" t="s">
        <v>1</v>
      </c>
      <c r="B135" s="1">
        <v>193.64232201087373</v>
      </c>
      <c r="C135" s="1">
        <v>9.3598334666635381</v>
      </c>
    </row>
    <row r="136" spans="1:3" x14ac:dyDescent="0.2">
      <c r="A136" t="s">
        <v>1</v>
      </c>
      <c r="B136" s="1">
        <v>250.43956526936287</v>
      </c>
      <c r="C136" s="1">
        <v>17.398939385857503</v>
      </c>
    </row>
    <row r="137" spans="1:3" x14ac:dyDescent="0.2">
      <c r="A137" t="s">
        <v>1</v>
      </c>
      <c r="B137" s="1">
        <v>256.19054462430711</v>
      </c>
      <c r="C137" s="1">
        <v>8.3396740519726738</v>
      </c>
    </row>
    <row r="138" spans="1:3" x14ac:dyDescent="0.2">
      <c r="A138" t="s">
        <v>1</v>
      </c>
      <c r="B138" s="1">
        <v>574.00160624875116</v>
      </c>
      <c r="C138" s="1">
        <v>8.3207453979203052</v>
      </c>
    </row>
    <row r="139" spans="1:3" x14ac:dyDescent="0.2">
      <c r="A139" t="s">
        <v>1</v>
      </c>
      <c r="B139" s="1">
        <v>176.90202904098919</v>
      </c>
      <c r="C139" s="1">
        <v>13.984950932630415</v>
      </c>
    </row>
    <row r="140" spans="1:3" x14ac:dyDescent="0.2">
      <c r="A140" t="s">
        <v>1</v>
      </c>
      <c r="B140" s="1">
        <v>460.99670066358283</v>
      </c>
      <c r="C140" s="1">
        <v>4.4507290422218126</v>
      </c>
    </row>
    <row r="141" spans="1:3" x14ac:dyDescent="0.2">
      <c r="A141" t="s">
        <v>1</v>
      </c>
      <c r="B141" s="1">
        <v>528.70946425492207</v>
      </c>
      <c r="C141" s="1">
        <v>13.170836704764065</v>
      </c>
    </row>
    <row r="142" spans="1:3" x14ac:dyDescent="0.2">
      <c r="A142" t="s">
        <v>1</v>
      </c>
      <c r="B142" s="1">
        <v>156.27557979779073</v>
      </c>
      <c r="C142" s="1">
        <v>21.349563228116036</v>
      </c>
    </row>
    <row r="143" spans="1:3" x14ac:dyDescent="0.2">
      <c r="A143" t="s">
        <v>1</v>
      </c>
      <c r="B143" s="1">
        <v>240.61396028538599</v>
      </c>
      <c r="C143" s="1">
        <v>20.940498903642006</v>
      </c>
    </row>
    <row r="144" spans="1:3" x14ac:dyDescent="0.2">
      <c r="A144" t="s">
        <v>1</v>
      </c>
      <c r="B144" s="1">
        <v>465.80937214220734</v>
      </c>
      <c r="C144" s="1">
        <v>21.536024418419821</v>
      </c>
    </row>
    <row r="145" spans="1:3" x14ac:dyDescent="0.2">
      <c r="A145" t="s">
        <v>1</v>
      </c>
      <c r="B145" s="1">
        <v>161.00343165622712</v>
      </c>
      <c r="C145" s="1">
        <v>25.210324453730916</v>
      </c>
    </row>
    <row r="146" spans="1:3" x14ac:dyDescent="0.2">
      <c r="A146" t="s">
        <v>1</v>
      </c>
      <c r="B146" s="1">
        <v>210.86062600710591</v>
      </c>
      <c r="C146" s="1">
        <v>21.792533503263662</v>
      </c>
    </row>
    <row r="147" spans="1:3" x14ac:dyDescent="0.2">
      <c r="A147" t="s">
        <v>1</v>
      </c>
      <c r="B147" s="1">
        <v>348.10398731642283</v>
      </c>
      <c r="C147" s="1">
        <v>24.868027091868356</v>
      </c>
    </row>
    <row r="148" spans="1:3" x14ac:dyDescent="0.2">
      <c r="A148" t="s">
        <v>1</v>
      </c>
      <c r="B148" s="1">
        <v>241.97277762287763</v>
      </c>
      <c r="C148" s="1">
        <v>9.8444499948018951</v>
      </c>
    </row>
    <row r="149" spans="1:3" x14ac:dyDescent="0.2">
      <c r="A149" t="s">
        <v>1</v>
      </c>
      <c r="B149" s="1">
        <v>355.91432114361453</v>
      </c>
      <c r="C149" s="1">
        <v>22.596297596018097</v>
      </c>
    </row>
    <row r="150" spans="1:3" x14ac:dyDescent="0.2">
      <c r="A150" t="s">
        <v>1</v>
      </c>
      <c r="B150" s="1">
        <v>296.60677529877171</v>
      </c>
      <c r="C150" s="1">
        <v>14.164284300248731</v>
      </c>
    </row>
    <row r="151" spans="1:3" x14ac:dyDescent="0.2">
      <c r="A151" t="s">
        <v>1</v>
      </c>
      <c r="B151" s="1">
        <v>554.72551510774338</v>
      </c>
      <c r="C151" s="1">
        <v>5.95488889870962</v>
      </c>
    </row>
    <row r="152" spans="1:3" x14ac:dyDescent="0.2">
      <c r="A152" t="s">
        <v>1</v>
      </c>
      <c r="B152" s="1">
        <v>254.86355200743296</v>
      </c>
      <c r="C152" s="1">
        <v>7.4571570487056462</v>
      </c>
    </row>
    <row r="153" spans="1:3" x14ac:dyDescent="0.2">
      <c r="A153" t="s">
        <v>1</v>
      </c>
      <c r="B153" s="1">
        <v>159.11735461063182</v>
      </c>
      <c r="C153" s="1">
        <v>19.165592708299926</v>
      </c>
    </row>
    <row r="154" spans="1:3" x14ac:dyDescent="0.2">
      <c r="A154" t="s">
        <v>1</v>
      </c>
      <c r="B154" s="1">
        <v>280.65138491723417</v>
      </c>
      <c r="C154" s="1">
        <v>11.685653522416199</v>
      </c>
    </row>
    <row r="155" spans="1:3" x14ac:dyDescent="0.2">
      <c r="A155" t="s">
        <v>1</v>
      </c>
      <c r="B155" s="1">
        <v>470.70978763459226</v>
      </c>
      <c r="C155" s="1">
        <v>15.227000414504113</v>
      </c>
    </row>
    <row r="156" spans="1:3" x14ac:dyDescent="0.2">
      <c r="A156" t="s">
        <v>1</v>
      </c>
      <c r="B156" s="1">
        <v>137.21908178132693</v>
      </c>
      <c r="C156" s="1">
        <v>15.01450103451274</v>
      </c>
    </row>
    <row r="157" spans="1:3" x14ac:dyDescent="0.2">
      <c r="A157" t="s">
        <v>1</v>
      </c>
      <c r="B157" s="1">
        <v>581.37450962319576</v>
      </c>
      <c r="C157" s="1">
        <v>8.3650421689360464</v>
      </c>
    </row>
    <row r="158" spans="1:3" x14ac:dyDescent="0.2">
      <c r="A158" t="s">
        <v>1</v>
      </c>
      <c r="B158" s="1">
        <v>346.65412603924915</v>
      </c>
      <c r="C158" s="1">
        <v>17.234142968261942</v>
      </c>
    </row>
    <row r="159" spans="1:3" x14ac:dyDescent="0.2">
      <c r="A159" t="s">
        <v>1</v>
      </c>
      <c r="B159" s="1">
        <v>594.37405498380303</v>
      </c>
      <c r="C159" s="1">
        <v>13.329099373167434</v>
      </c>
    </row>
    <row r="160" spans="1:3" x14ac:dyDescent="0.2">
      <c r="A160" t="s">
        <v>1</v>
      </c>
      <c r="B160" s="1">
        <v>190.74038942751673</v>
      </c>
      <c r="C160" s="1">
        <v>7.395667261053724</v>
      </c>
    </row>
    <row r="161" spans="1:3" x14ac:dyDescent="0.2">
      <c r="A161" t="s">
        <v>1</v>
      </c>
      <c r="B161" s="1">
        <v>240.87403435206102</v>
      </c>
      <c r="C161" s="1">
        <v>16.516903268076433</v>
      </c>
    </row>
    <row r="162" spans="1:3" x14ac:dyDescent="0.2">
      <c r="A162" t="s">
        <v>1</v>
      </c>
      <c r="B162" s="1">
        <v>139.10987328868566</v>
      </c>
      <c r="C162" s="1">
        <v>18.906887725792565</v>
      </c>
    </row>
    <row r="163" spans="1:3" x14ac:dyDescent="0.2">
      <c r="A163" t="s">
        <v>1</v>
      </c>
      <c r="B163" s="1">
        <v>238.99778016979246</v>
      </c>
      <c r="C163" s="1">
        <v>13.670207359842774</v>
      </c>
    </row>
    <row r="164" spans="1:3" x14ac:dyDescent="0.2">
      <c r="A164" t="s">
        <v>1</v>
      </c>
      <c r="B164" s="1">
        <v>542.41681863382973</v>
      </c>
      <c r="C164" s="1">
        <v>13.953181404053613</v>
      </c>
    </row>
    <row r="165" spans="1:3" x14ac:dyDescent="0.2">
      <c r="A165" t="s">
        <v>1</v>
      </c>
      <c r="B165" s="1">
        <v>321.72775038616697</v>
      </c>
      <c r="C165" s="1">
        <v>19.636676737707489</v>
      </c>
    </row>
    <row r="166" spans="1:3" x14ac:dyDescent="0.2">
      <c r="A166" t="s">
        <v>1</v>
      </c>
      <c r="B166" s="1">
        <v>449.68327387510942</v>
      </c>
      <c r="C166" s="1">
        <v>18.465329168438057</v>
      </c>
    </row>
    <row r="167" spans="1:3" x14ac:dyDescent="0.2">
      <c r="A167" t="s">
        <v>1</v>
      </c>
      <c r="B167" s="1">
        <v>360.61780039100944</v>
      </c>
      <c r="C167" s="1">
        <v>18.861616858974187</v>
      </c>
    </row>
    <row r="168" spans="1:3" x14ac:dyDescent="0.2">
      <c r="A168" t="s">
        <v>1</v>
      </c>
      <c r="B168" s="1">
        <v>103.63818426664841</v>
      </c>
      <c r="C168" s="1">
        <v>11.606475516882556</v>
      </c>
    </row>
    <row r="169" spans="1:3" x14ac:dyDescent="0.2">
      <c r="A169" t="s">
        <v>1</v>
      </c>
      <c r="B169" s="1">
        <v>340.22884912052109</v>
      </c>
      <c r="C169" s="1">
        <v>27.415097208967698</v>
      </c>
    </row>
    <row r="170" spans="1:3" x14ac:dyDescent="0.2">
      <c r="A170" t="s">
        <v>1</v>
      </c>
      <c r="B170" s="1">
        <v>593.80392050738476</v>
      </c>
      <c r="C170" s="1">
        <v>4.9295526129681395</v>
      </c>
    </row>
    <row r="171" spans="1:3" x14ac:dyDescent="0.2">
      <c r="A171" t="s">
        <v>1</v>
      </c>
      <c r="B171" s="1">
        <v>123.90882773082481</v>
      </c>
      <c r="C171" s="1">
        <v>25.377020442785984</v>
      </c>
    </row>
    <row r="172" spans="1:3" x14ac:dyDescent="0.2">
      <c r="A172" t="s">
        <v>1</v>
      </c>
      <c r="B172" s="1">
        <v>148.5195798620195</v>
      </c>
      <c r="C172" s="1">
        <v>42.353448575519892</v>
      </c>
    </row>
    <row r="173" spans="1:3" x14ac:dyDescent="0.2">
      <c r="A173" t="s">
        <v>1</v>
      </c>
      <c r="B173" s="1">
        <v>280.25570053448894</v>
      </c>
      <c r="C173" s="1">
        <v>35.096162981471522</v>
      </c>
    </row>
    <row r="174" spans="1:3" x14ac:dyDescent="0.2">
      <c r="A174" t="s">
        <v>1</v>
      </c>
      <c r="B174" s="1">
        <v>438.30909338167083</v>
      </c>
      <c r="C174" s="1">
        <v>17.19177726311986</v>
      </c>
    </row>
    <row r="175" spans="1:3" x14ac:dyDescent="0.2">
      <c r="A175" t="s">
        <v>1</v>
      </c>
      <c r="B175" s="1">
        <v>187.43662551051847</v>
      </c>
      <c r="C175" s="1">
        <v>14.54012909031011</v>
      </c>
    </row>
    <row r="176" spans="1:3" x14ac:dyDescent="0.2">
      <c r="A176" t="s">
        <v>1</v>
      </c>
      <c r="B176" s="1">
        <v>329.51448661510062</v>
      </c>
      <c r="C176" s="1">
        <v>26.485974994823231</v>
      </c>
    </row>
    <row r="177" spans="1:3" x14ac:dyDescent="0.2">
      <c r="A177" t="s">
        <v>1</v>
      </c>
      <c r="B177" s="1">
        <v>479.62238651442794</v>
      </c>
      <c r="C177" s="1">
        <v>23.9488385633835</v>
      </c>
    </row>
    <row r="178" spans="1:3" x14ac:dyDescent="0.2">
      <c r="A178" t="s">
        <v>1</v>
      </c>
      <c r="B178" s="1">
        <v>169.807514731965</v>
      </c>
      <c r="C178" s="1">
        <v>24.41524425373245</v>
      </c>
    </row>
    <row r="179" spans="1:3" x14ac:dyDescent="0.2">
      <c r="A179" t="s">
        <v>1</v>
      </c>
      <c r="B179" s="1">
        <v>185.02143232451533</v>
      </c>
      <c r="C179" s="1">
        <v>36.464908976775803</v>
      </c>
    </row>
    <row r="180" spans="1:3" x14ac:dyDescent="0.2">
      <c r="A180" t="s">
        <v>1</v>
      </c>
      <c r="B180" s="1">
        <v>440.77942360490988</v>
      </c>
      <c r="C180" s="1">
        <v>20.003085935554108</v>
      </c>
    </row>
    <row r="181" spans="1:3" x14ac:dyDescent="0.2">
      <c r="A181" t="s">
        <v>1</v>
      </c>
      <c r="B181" s="1">
        <v>157.04777143895433</v>
      </c>
      <c r="C181" s="1">
        <v>23.933203592955689</v>
      </c>
    </row>
    <row r="182" spans="1:3" x14ac:dyDescent="0.2">
      <c r="A182" t="s">
        <v>1</v>
      </c>
      <c r="B182" s="1">
        <v>464.73433692914978</v>
      </c>
      <c r="C182" s="1">
        <v>25.730727082015676</v>
      </c>
    </row>
    <row r="183" spans="1:3" x14ac:dyDescent="0.2">
      <c r="A183" t="s">
        <v>1</v>
      </c>
      <c r="B183" s="1">
        <v>155.00570234023661</v>
      </c>
      <c r="C183" s="1">
        <v>19.986668169675241</v>
      </c>
    </row>
    <row r="184" spans="1:3" x14ac:dyDescent="0.2">
      <c r="A184" t="s">
        <v>1</v>
      </c>
      <c r="B184" s="1">
        <v>312.37835037703644</v>
      </c>
      <c r="C184" s="1">
        <v>36.300882794924661</v>
      </c>
    </row>
    <row r="185" spans="1:3" x14ac:dyDescent="0.2">
      <c r="A185" t="s">
        <v>1</v>
      </c>
      <c r="B185" s="1">
        <v>137.93951062223533</v>
      </c>
      <c r="C185" s="1">
        <v>29.304425917067558</v>
      </c>
    </row>
    <row r="186" spans="1:3" x14ac:dyDescent="0.2">
      <c r="A186" t="s">
        <v>1</v>
      </c>
      <c r="B186" s="1">
        <v>322.67472451366223</v>
      </c>
      <c r="C186" s="1">
        <v>23.417299922789436</v>
      </c>
    </row>
    <row r="187" spans="1:3" x14ac:dyDescent="0.2">
      <c r="A187" t="s">
        <v>1</v>
      </c>
      <c r="B187" s="1">
        <v>474.57721371668697</v>
      </c>
      <c r="C187" s="1">
        <v>25.558798907383693</v>
      </c>
    </row>
    <row r="188" spans="1:3" x14ac:dyDescent="0.2">
      <c r="A188" t="s">
        <v>1</v>
      </c>
      <c r="B188" s="1">
        <v>554.69112075587122</v>
      </c>
      <c r="C188" s="1">
        <v>49.337803800638838</v>
      </c>
    </row>
    <row r="189" spans="1:3" x14ac:dyDescent="0.2">
      <c r="A189" t="s">
        <v>1</v>
      </c>
      <c r="B189" s="1">
        <v>405.13639638660447</v>
      </c>
      <c r="C189" s="1">
        <v>19.044050984175371</v>
      </c>
    </row>
    <row r="190" spans="1:3" x14ac:dyDescent="0.2">
      <c r="A190" t="s">
        <v>1</v>
      </c>
      <c r="B190" s="1">
        <v>213.05493715159008</v>
      </c>
      <c r="C190" s="1">
        <v>33.476942296875279</v>
      </c>
    </row>
    <row r="191" spans="1:3" x14ac:dyDescent="0.2">
      <c r="A191" t="s">
        <v>1</v>
      </c>
      <c r="B191" s="1">
        <v>107.81483006146277</v>
      </c>
      <c r="C191" s="1">
        <v>24.238057357846223</v>
      </c>
    </row>
    <row r="192" spans="1:3" x14ac:dyDescent="0.2">
      <c r="A192" t="s">
        <v>1</v>
      </c>
      <c r="B192" s="1">
        <v>180.58875122922382</v>
      </c>
      <c r="C192" s="1">
        <v>26.275164320970209</v>
      </c>
    </row>
    <row r="193" spans="1:3" x14ac:dyDescent="0.2">
      <c r="A193" t="s">
        <v>1</v>
      </c>
      <c r="B193" s="1">
        <v>155.27844177952002</v>
      </c>
      <c r="C193" s="1">
        <v>23.519713634672868</v>
      </c>
    </row>
    <row r="194" spans="1:3" x14ac:dyDescent="0.2">
      <c r="A194" t="s">
        <v>1</v>
      </c>
      <c r="B194" s="1">
        <v>112.58694625765999</v>
      </c>
      <c r="C194" s="1">
        <v>14.031813185343001</v>
      </c>
    </row>
    <row r="195" spans="1:3" x14ac:dyDescent="0.2">
      <c r="A195" t="s">
        <v>1</v>
      </c>
      <c r="B195" s="1">
        <v>155.94567311579834</v>
      </c>
      <c r="C195" s="1">
        <v>17.060029167454374</v>
      </c>
    </row>
    <row r="196" spans="1:3" x14ac:dyDescent="0.2">
      <c r="A196" t="s">
        <v>1</v>
      </c>
      <c r="B196" s="1">
        <v>467.19807385884451</v>
      </c>
      <c r="C196" s="1">
        <v>14.303440809565661</v>
      </c>
    </row>
    <row r="197" spans="1:3" x14ac:dyDescent="0.2">
      <c r="A197" t="s">
        <v>1</v>
      </c>
      <c r="B197" s="1">
        <v>351.09579628663869</v>
      </c>
      <c r="C197" s="1">
        <v>15.155038680095377</v>
      </c>
    </row>
    <row r="198" spans="1:3" x14ac:dyDescent="0.2">
      <c r="A198" t="s">
        <v>1</v>
      </c>
      <c r="B198" s="1">
        <v>375.61792855541444</v>
      </c>
      <c r="C198" s="1">
        <v>28.848155750978506</v>
      </c>
    </row>
    <row r="199" spans="1:3" x14ac:dyDescent="0.2">
      <c r="A199" t="s">
        <v>1</v>
      </c>
      <c r="B199" s="1">
        <v>295.62781928603823</v>
      </c>
      <c r="C199" s="1">
        <v>7.8863264900009522</v>
      </c>
    </row>
    <row r="200" spans="1:3" x14ac:dyDescent="0.2">
      <c r="A200" t="s">
        <v>1</v>
      </c>
      <c r="B200" s="1">
        <v>362.90553411636921</v>
      </c>
      <c r="C200" s="1">
        <v>46.078536831342689</v>
      </c>
    </row>
  </sheetData>
  <sortState xmlns:xlrd2="http://schemas.microsoft.com/office/spreadsheetml/2017/richdata2" ref="A2:I200">
    <sortCondition ref="A2:A20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D7F9-9941-7144-85D4-F76A4690AC10}">
  <dimension ref="A1:I18"/>
  <sheetViews>
    <sheetView workbookViewId="0">
      <selection activeCell="G35" sqref="G35"/>
    </sheetView>
  </sheetViews>
  <sheetFormatPr baseColWidth="10" defaultRowHeight="15" x14ac:dyDescent="0.2"/>
  <cols>
    <col min="1" max="1" width="14.33203125" customWidth="1"/>
  </cols>
  <sheetData>
    <row r="1" spans="1:9" x14ac:dyDescent="0.2">
      <c r="A1" t="s">
        <v>68</v>
      </c>
    </row>
    <row r="2" spans="1:9" ht="16" thickBot="1" x14ac:dyDescent="0.25"/>
    <row r="3" spans="1:9" x14ac:dyDescent="0.2">
      <c r="A3" s="10" t="s">
        <v>69</v>
      </c>
      <c r="B3" s="10"/>
    </row>
    <row r="4" spans="1:9" x14ac:dyDescent="0.2">
      <c r="A4" s="7" t="s">
        <v>70</v>
      </c>
      <c r="B4" s="7">
        <v>3.5988145766685249E-2</v>
      </c>
    </row>
    <row r="5" spans="1:9" x14ac:dyDescent="0.2">
      <c r="A5" s="7" t="s">
        <v>71</v>
      </c>
      <c r="B5" s="11">
        <v>1.2951466357241854E-3</v>
      </c>
    </row>
    <row r="6" spans="1:9" x14ac:dyDescent="0.2">
      <c r="A6" s="7" t="s">
        <v>72</v>
      </c>
      <c r="B6" s="7">
        <v>-8.8957192149316903E-3</v>
      </c>
    </row>
    <row r="7" spans="1:9" x14ac:dyDescent="0.2">
      <c r="A7" s="7" t="s">
        <v>73</v>
      </c>
      <c r="B7" s="7">
        <v>16.214435284915943</v>
      </c>
    </row>
    <row r="8" spans="1:9" ht="16" thickBot="1" x14ac:dyDescent="0.25">
      <c r="A8" s="8" t="s">
        <v>59</v>
      </c>
      <c r="B8" s="8">
        <v>100</v>
      </c>
    </row>
    <row r="10" spans="1:9" ht="16" thickBot="1" x14ac:dyDescent="0.25">
      <c r="A10" t="s">
        <v>74</v>
      </c>
    </row>
    <row r="11" spans="1:9" x14ac:dyDescent="0.2">
      <c r="A11" s="9"/>
      <c r="B11" s="9" t="s">
        <v>62</v>
      </c>
      <c r="C11" s="9" t="s">
        <v>79</v>
      </c>
      <c r="D11" s="9" t="s">
        <v>80</v>
      </c>
      <c r="E11" s="9" t="s">
        <v>81</v>
      </c>
      <c r="F11" s="9" t="s">
        <v>82</v>
      </c>
    </row>
    <row r="12" spans="1:9" x14ac:dyDescent="0.2">
      <c r="A12" s="7" t="s">
        <v>75</v>
      </c>
      <c r="B12" s="7">
        <v>1</v>
      </c>
      <c r="C12" s="7">
        <v>33.412695468206948</v>
      </c>
      <c r="D12" s="7">
        <v>33.412695468206948</v>
      </c>
      <c r="E12" s="7">
        <v>0.12708896915180479</v>
      </c>
      <c r="F12" s="11">
        <v>0.72223598640267095</v>
      </c>
    </row>
    <row r="13" spans="1:9" x14ac:dyDescent="0.2">
      <c r="A13" s="7" t="s">
        <v>76</v>
      </c>
      <c r="B13" s="7">
        <v>98</v>
      </c>
      <c r="C13" s="7">
        <v>25764.975337655265</v>
      </c>
      <c r="D13" s="7">
        <v>262.9079116087272</v>
      </c>
      <c r="E13" s="7"/>
      <c r="F13" s="7"/>
    </row>
    <row r="14" spans="1:9" ht="16" thickBot="1" x14ac:dyDescent="0.25">
      <c r="A14" s="8" t="s">
        <v>77</v>
      </c>
      <c r="B14" s="8">
        <v>99</v>
      </c>
      <c r="C14" s="8">
        <v>25798.388033123472</v>
      </c>
      <c r="D14" s="8"/>
      <c r="E14" s="8"/>
      <c r="F14" s="8"/>
    </row>
    <row r="15" spans="1:9" ht="16" thickBot="1" x14ac:dyDescent="0.25"/>
    <row r="16" spans="1:9" x14ac:dyDescent="0.2">
      <c r="A16" s="9"/>
      <c r="B16" s="9" t="s">
        <v>83</v>
      </c>
      <c r="C16" s="9" t="s">
        <v>73</v>
      </c>
      <c r="D16" s="9" t="s">
        <v>63</v>
      </c>
      <c r="E16" s="9" t="s">
        <v>84</v>
      </c>
      <c r="F16" s="9" t="s">
        <v>85</v>
      </c>
      <c r="G16" s="9" t="s">
        <v>86</v>
      </c>
      <c r="H16" s="9" t="s">
        <v>87</v>
      </c>
      <c r="I16" s="9" t="s">
        <v>88</v>
      </c>
    </row>
    <row r="17" spans="1:9" x14ac:dyDescent="0.2">
      <c r="A17" s="7" t="s">
        <v>78</v>
      </c>
      <c r="B17" s="7">
        <v>27.824820063719102</v>
      </c>
      <c r="C17" s="7">
        <v>10.136112495123506</v>
      </c>
      <c r="D17" s="7">
        <v>2.7451175267742589</v>
      </c>
      <c r="E17" s="7">
        <v>7.1964406488694418E-3</v>
      </c>
      <c r="F17" s="7">
        <v>7.7100347019097732</v>
      </c>
      <c r="G17" s="7">
        <v>47.939605425528427</v>
      </c>
      <c r="H17" s="7">
        <v>7.7100347019097732</v>
      </c>
      <c r="I17" s="7">
        <v>47.939605425528427</v>
      </c>
    </row>
    <row r="18" spans="1:9" ht="16" thickBot="1" x14ac:dyDescent="0.25">
      <c r="A18" s="8" t="s">
        <v>89</v>
      </c>
      <c r="B18" s="8">
        <v>6.0977578120879547E-3</v>
      </c>
      <c r="C18" s="8">
        <v>1.7104730769996874E-2</v>
      </c>
      <c r="D18" s="8">
        <v>0.35649539850015827</v>
      </c>
      <c r="E18" s="12">
        <v>0.72223598640268993</v>
      </c>
      <c r="F18" s="8">
        <v>-2.7846023719100596E-2</v>
      </c>
      <c r="G18" s="8">
        <v>4.0041539343276505E-2</v>
      </c>
      <c r="H18" s="8">
        <v>-2.7846023719100596E-2</v>
      </c>
      <c r="I18" s="8">
        <v>4.0041539343276505E-2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"/>
  <sheetViews>
    <sheetView topLeftCell="A161" zoomScale="111" zoomScaleNormal="111" workbookViewId="0">
      <selection activeCell="F2" sqref="F2"/>
    </sheetView>
  </sheetViews>
  <sheetFormatPr baseColWidth="10" defaultColWidth="8.83203125" defaultRowHeight="15" x14ac:dyDescent="0.2"/>
  <cols>
    <col min="1" max="1" width="9.6640625" bestFit="1" customWidth="1"/>
    <col min="2" max="2" width="16.6640625" customWidth="1"/>
    <col min="4" max="4" width="13.83203125" customWidth="1"/>
  </cols>
  <sheetData>
    <row r="1" spans="1:7" ht="26" x14ac:dyDescent="0.3">
      <c r="A1" t="s">
        <v>0</v>
      </c>
      <c r="B1" t="s">
        <v>4</v>
      </c>
      <c r="C1" t="s">
        <v>5</v>
      </c>
      <c r="D1" t="s">
        <v>3</v>
      </c>
      <c r="E1" t="s">
        <v>7</v>
      </c>
      <c r="G1" s="2" t="s">
        <v>14</v>
      </c>
    </row>
    <row r="2" spans="1:7" x14ac:dyDescent="0.2">
      <c r="A2" t="s">
        <v>2</v>
      </c>
      <c r="B2">
        <v>73</v>
      </c>
      <c r="C2">
        <v>401</v>
      </c>
      <c r="D2" s="1">
        <v>36.662712884524737</v>
      </c>
      <c r="E2" t="s">
        <v>8</v>
      </c>
    </row>
    <row r="3" spans="1:7" x14ac:dyDescent="0.2">
      <c r="A3" t="s">
        <v>2</v>
      </c>
      <c r="B3">
        <v>83</v>
      </c>
      <c r="C3">
        <v>406</v>
      </c>
      <c r="D3" s="1">
        <v>24.065028908561459</v>
      </c>
      <c r="E3" t="s">
        <v>8</v>
      </c>
    </row>
    <row r="4" spans="1:7" x14ac:dyDescent="0.2">
      <c r="A4" t="s">
        <v>2</v>
      </c>
      <c r="B4">
        <v>86</v>
      </c>
      <c r="C4">
        <v>412</v>
      </c>
      <c r="D4" s="1">
        <v>19.861149267138007</v>
      </c>
      <c r="E4" t="s">
        <v>8</v>
      </c>
    </row>
    <row r="5" spans="1:7" x14ac:dyDescent="0.2">
      <c r="A5" t="s">
        <v>2</v>
      </c>
      <c r="B5">
        <v>81</v>
      </c>
      <c r="C5">
        <v>416</v>
      </c>
      <c r="D5" s="1">
        <v>33.554476136219442</v>
      </c>
      <c r="E5" t="s">
        <v>8</v>
      </c>
    </row>
    <row r="6" spans="1:7" x14ac:dyDescent="0.2">
      <c r="A6" t="s">
        <v>2</v>
      </c>
      <c r="B6">
        <v>58</v>
      </c>
      <c r="C6">
        <v>420</v>
      </c>
      <c r="D6" s="1">
        <v>30.777913097504193</v>
      </c>
      <c r="E6" t="s">
        <v>8</v>
      </c>
    </row>
    <row r="7" spans="1:7" x14ac:dyDescent="0.2">
      <c r="A7" t="s">
        <v>2</v>
      </c>
      <c r="B7">
        <v>46</v>
      </c>
      <c r="C7">
        <v>427</v>
      </c>
      <c r="D7" s="1">
        <v>24.750003539757664</v>
      </c>
      <c r="E7" t="s">
        <v>8</v>
      </c>
    </row>
    <row r="8" spans="1:7" x14ac:dyDescent="0.2">
      <c r="A8" t="s">
        <v>2</v>
      </c>
      <c r="B8">
        <v>72</v>
      </c>
      <c r="C8">
        <v>429</v>
      </c>
      <c r="D8" s="1">
        <v>26.653665312095626</v>
      </c>
      <c r="E8" t="s">
        <v>8</v>
      </c>
    </row>
    <row r="9" spans="1:7" x14ac:dyDescent="0.2">
      <c r="A9" t="s">
        <v>2</v>
      </c>
      <c r="B9">
        <v>61</v>
      </c>
      <c r="C9">
        <v>432</v>
      </c>
      <c r="D9" s="1">
        <v>23.905124273554964</v>
      </c>
      <c r="E9" t="s">
        <v>8</v>
      </c>
    </row>
    <row r="10" spans="1:7" x14ac:dyDescent="0.2">
      <c r="A10" t="s">
        <v>2</v>
      </c>
      <c r="B10">
        <v>79</v>
      </c>
      <c r="C10">
        <v>433</v>
      </c>
      <c r="D10" s="1">
        <v>20.492204273045331</v>
      </c>
      <c r="E10" t="s">
        <v>8</v>
      </c>
    </row>
    <row r="11" spans="1:7" x14ac:dyDescent="0.2">
      <c r="A11" t="s">
        <v>2</v>
      </c>
      <c r="B11">
        <v>80</v>
      </c>
      <c r="C11">
        <v>438</v>
      </c>
      <c r="D11" s="1">
        <v>17.300326361356991</v>
      </c>
      <c r="E11" t="s">
        <v>8</v>
      </c>
    </row>
    <row r="12" spans="1:7" x14ac:dyDescent="0.2">
      <c r="A12" t="s">
        <v>2</v>
      </c>
      <c r="B12">
        <v>60</v>
      </c>
      <c r="C12">
        <v>439</v>
      </c>
      <c r="D12" s="1">
        <v>26.082839483073201</v>
      </c>
      <c r="E12" t="s">
        <v>8</v>
      </c>
    </row>
    <row r="13" spans="1:7" x14ac:dyDescent="0.2">
      <c r="A13" t="s">
        <v>2</v>
      </c>
      <c r="B13">
        <v>58</v>
      </c>
      <c r="C13">
        <v>446</v>
      </c>
      <c r="D13" s="1">
        <v>13.763087661027233</v>
      </c>
      <c r="E13" t="s">
        <v>8</v>
      </c>
    </row>
    <row r="14" spans="1:7" x14ac:dyDescent="0.2">
      <c r="A14" t="s">
        <v>2</v>
      </c>
      <c r="B14">
        <v>80</v>
      </c>
      <c r="C14">
        <v>454</v>
      </c>
      <c r="D14" s="1">
        <v>30.764558973473459</v>
      </c>
      <c r="E14" t="s">
        <v>8</v>
      </c>
    </row>
    <row r="15" spans="1:7" x14ac:dyDescent="0.2">
      <c r="A15" t="s">
        <v>2</v>
      </c>
      <c r="B15">
        <v>82</v>
      </c>
      <c r="C15">
        <v>457</v>
      </c>
      <c r="D15" s="1">
        <v>26.342441907398111</v>
      </c>
      <c r="E15" t="s">
        <v>8</v>
      </c>
    </row>
    <row r="16" spans="1:7" x14ac:dyDescent="0.2">
      <c r="A16" t="s">
        <v>2</v>
      </c>
      <c r="B16">
        <v>61</v>
      </c>
      <c r="C16">
        <v>459</v>
      </c>
      <c r="D16" s="1">
        <v>25.448083025409009</v>
      </c>
      <c r="E16" t="s">
        <v>8</v>
      </c>
    </row>
    <row r="17" spans="1:5" x14ac:dyDescent="0.2">
      <c r="A17" t="s">
        <v>2</v>
      </c>
      <c r="B17">
        <v>43</v>
      </c>
      <c r="C17">
        <v>463</v>
      </c>
      <c r="D17" s="1">
        <v>23.524386494906807</v>
      </c>
      <c r="E17" t="s">
        <v>8</v>
      </c>
    </row>
    <row r="18" spans="1:5" x14ac:dyDescent="0.2">
      <c r="A18" t="s">
        <v>2</v>
      </c>
      <c r="B18">
        <v>69</v>
      </c>
      <c r="C18">
        <v>464</v>
      </c>
      <c r="D18" s="1">
        <v>30.658299950475275</v>
      </c>
      <c r="E18" t="s">
        <v>8</v>
      </c>
    </row>
    <row r="19" spans="1:5" x14ac:dyDescent="0.2">
      <c r="A19" t="s">
        <v>2</v>
      </c>
      <c r="B19">
        <v>63</v>
      </c>
      <c r="C19">
        <v>464</v>
      </c>
      <c r="D19" s="1">
        <v>21.12216376436271</v>
      </c>
      <c r="E19" t="s">
        <v>8</v>
      </c>
    </row>
    <row r="20" spans="1:5" x14ac:dyDescent="0.2">
      <c r="A20" t="s">
        <v>2</v>
      </c>
      <c r="B20">
        <v>82</v>
      </c>
      <c r="C20">
        <v>465</v>
      </c>
      <c r="D20" s="1">
        <v>28.947249962681006</v>
      </c>
      <c r="E20" t="s">
        <v>8</v>
      </c>
    </row>
    <row r="21" spans="1:5" x14ac:dyDescent="0.2">
      <c r="A21" t="s">
        <v>2</v>
      </c>
      <c r="B21">
        <v>66</v>
      </c>
      <c r="C21">
        <v>469</v>
      </c>
      <c r="D21" s="1">
        <v>23.59875314350343</v>
      </c>
      <c r="E21" t="s">
        <v>8</v>
      </c>
    </row>
    <row r="22" spans="1:5" x14ac:dyDescent="0.2">
      <c r="A22" t="s">
        <v>2</v>
      </c>
      <c r="B22">
        <v>81</v>
      </c>
      <c r="C22">
        <v>478</v>
      </c>
      <c r="D22" s="1">
        <v>21.22927700023013</v>
      </c>
      <c r="E22" t="s">
        <v>8</v>
      </c>
    </row>
    <row r="23" spans="1:5" x14ac:dyDescent="0.2">
      <c r="A23" t="s">
        <v>2</v>
      </c>
      <c r="B23">
        <v>56</v>
      </c>
      <c r="C23">
        <v>479</v>
      </c>
      <c r="D23" s="1">
        <v>20.366314420960872</v>
      </c>
      <c r="E23" t="s">
        <v>8</v>
      </c>
    </row>
    <row r="24" spans="1:5" x14ac:dyDescent="0.2">
      <c r="A24" t="s">
        <v>2</v>
      </c>
      <c r="B24">
        <v>71</v>
      </c>
      <c r="C24">
        <v>480</v>
      </c>
      <c r="D24" s="1">
        <v>20.873518260842779</v>
      </c>
      <c r="E24" t="s">
        <v>8</v>
      </c>
    </row>
    <row r="25" spans="1:5" x14ac:dyDescent="0.2">
      <c r="A25" t="s">
        <v>2</v>
      </c>
      <c r="B25">
        <v>68</v>
      </c>
      <c r="C25">
        <v>481</v>
      </c>
      <c r="D25" s="1">
        <v>35.750475285134463</v>
      </c>
      <c r="E25" t="s">
        <v>8</v>
      </c>
    </row>
    <row r="26" spans="1:5" x14ac:dyDescent="0.2">
      <c r="A26" t="s">
        <v>2</v>
      </c>
      <c r="B26">
        <v>42</v>
      </c>
      <c r="C26">
        <v>489</v>
      </c>
      <c r="D26" s="1">
        <v>26.642170927295503</v>
      </c>
      <c r="E26" t="s">
        <v>8</v>
      </c>
    </row>
    <row r="27" spans="1:5" x14ac:dyDescent="0.2">
      <c r="A27" t="s">
        <v>2</v>
      </c>
      <c r="B27">
        <v>71</v>
      </c>
      <c r="C27">
        <v>492</v>
      </c>
      <c r="D27" s="1">
        <v>33.218930750460785</v>
      </c>
      <c r="E27" t="s">
        <v>8</v>
      </c>
    </row>
    <row r="28" spans="1:5" x14ac:dyDescent="0.2">
      <c r="A28" t="s">
        <v>2</v>
      </c>
      <c r="B28">
        <v>84</v>
      </c>
      <c r="C28">
        <v>497</v>
      </c>
      <c r="D28" s="1">
        <v>24.277761337344266</v>
      </c>
      <c r="E28" t="s">
        <v>8</v>
      </c>
    </row>
    <row r="29" spans="1:5" x14ac:dyDescent="0.2">
      <c r="A29" t="s">
        <v>2</v>
      </c>
      <c r="B29">
        <v>86</v>
      </c>
      <c r="C29">
        <v>499</v>
      </c>
      <c r="D29" s="1">
        <v>36.959328463277728</v>
      </c>
      <c r="E29" t="s">
        <v>10</v>
      </c>
    </row>
    <row r="30" spans="1:5" x14ac:dyDescent="0.2">
      <c r="A30" t="s">
        <v>2</v>
      </c>
      <c r="B30">
        <v>64</v>
      </c>
      <c r="C30">
        <v>507</v>
      </c>
      <c r="D30" s="1">
        <v>24.877753115313691</v>
      </c>
      <c r="E30" t="s">
        <v>10</v>
      </c>
    </row>
    <row r="31" spans="1:5" x14ac:dyDescent="0.2">
      <c r="A31" t="s">
        <v>2</v>
      </c>
      <c r="B31">
        <v>64</v>
      </c>
      <c r="C31">
        <v>511</v>
      </c>
      <c r="D31" s="1">
        <v>25.380279173387116</v>
      </c>
      <c r="E31" t="s">
        <v>10</v>
      </c>
    </row>
    <row r="32" spans="1:5" x14ac:dyDescent="0.2">
      <c r="A32" t="s">
        <v>2</v>
      </c>
      <c r="B32">
        <v>68</v>
      </c>
      <c r="C32">
        <v>513</v>
      </c>
      <c r="D32" s="1">
        <v>31.980497659842484</v>
      </c>
      <c r="E32" t="s">
        <v>10</v>
      </c>
    </row>
    <row r="33" spans="1:5" x14ac:dyDescent="0.2">
      <c r="A33" t="s">
        <v>2</v>
      </c>
      <c r="B33">
        <v>60</v>
      </c>
      <c r="C33">
        <v>514</v>
      </c>
      <c r="D33" s="1">
        <v>15.640481221396875</v>
      </c>
      <c r="E33" t="s">
        <v>10</v>
      </c>
    </row>
    <row r="34" spans="1:5" x14ac:dyDescent="0.2">
      <c r="A34" t="s">
        <v>2</v>
      </c>
      <c r="B34">
        <v>42</v>
      </c>
      <c r="C34">
        <v>525</v>
      </c>
      <c r="D34" s="1">
        <v>27.311905528022308</v>
      </c>
      <c r="E34" t="s">
        <v>10</v>
      </c>
    </row>
    <row r="35" spans="1:5" x14ac:dyDescent="0.2">
      <c r="A35" t="s">
        <v>2</v>
      </c>
      <c r="B35">
        <v>77</v>
      </c>
      <c r="C35">
        <v>526</v>
      </c>
      <c r="D35" s="1">
        <v>27.143862142259426</v>
      </c>
      <c r="E35" t="s">
        <v>10</v>
      </c>
    </row>
    <row r="36" spans="1:5" x14ac:dyDescent="0.2">
      <c r="A36" t="s">
        <v>2</v>
      </c>
      <c r="B36">
        <v>79</v>
      </c>
      <c r="C36">
        <v>526</v>
      </c>
      <c r="D36" s="1">
        <v>20.117268731049339</v>
      </c>
      <c r="E36" t="s">
        <v>10</v>
      </c>
    </row>
    <row r="37" spans="1:5" x14ac:dyDescent="0.2">
      <c r="A37" t="s">
        <v>2</v>
      </c>
      <c r="B37">
        <v>72</v>
      </c>
      <c r="C37">
        <v>527</v>
      </c>
      <c r="D37" s="1">
        <v>19.215924123326673</v>
      </c>
      <c r="E37" t="s">
        <v>10</v>
      </c>
    </row>
    <row r="38" spans="1:5" x14ac:dyDescent="0.2">
      <c r="A38" t="s">
        <v>2</v>
      </c>
      <c r="B38">
        <v>54</v>
      </c>
      <c r="C38">
        <v>530</v>
      </c>
      <c r="D38" s="1">
        <v>25.086186948688503</v>
      </c>
      <c r="E38" t="s">
        <v>10</v>
      </c>
    </row>
    <row r="39" spans="1:5" x14ac:dyDescent="0.2">
      <c r="A39" t="s">
        <v>2</v>
      </c>
      <c r="B39">
        <v>84</v>
      </c>
      <c r="C39">
        <v>532</v>
      </c>
      <c r="D39" s="1">
        <v>27.476071146014309</v>
      </c>
      <c r="E39" t="s">
        <v>10</v>
      </c>
    </row>
    <row r="40" spans="1:5" x14ac:dyDescent="0.2">
      <c r="A40" t="s">
        <v>2</v>
      </c>
      <c r="B40">
        <v>49</v>
      </c>
      <c r="C40">
        <v>533</v>
      </c>
      <c r="D40" s="1">
        <v>23.44994670399587</v>
      </c>
      <c r="E40" t="s">
        <v>10</v>
      </c>
    </row>
    <row r="41" spans="1:5" x14ac:dyDescent="0.2">
      <c r="A41" t="s">
        <v>2</v>
      </c>
      <c r="B41">
        <v>83</v>
      </c>
      <c r="C41">
        <v>539</v>
      </c>
      <c r="D41" s="1">
        <v>29.213923419377053</v>
      </c>
      <c r="E41" t="s">
        <v>10</v>
      </c>
    </row>
    <row r="42" spans="1:5" x14ac:dyDescent="0.2">
      <c r="A42" t="s">
        <v>2</v>
      </c>
      <c r="B42">
        <v>64</v>
      </c>
      <c r="C42">
        <v>540</v>
      </c>
      <c r="D42" s="1">
        <v>24.936023398541003</v>
      </c>
      <c r="E42" t="s">
        <v>10</v>
      </c>
    </row>
    <row r="43" spans="1:5" x14ac:dyDescent="0.2">
      <c r="A43" t="s">
        <v>2</v>
      </c>
      <c r="B43">
        <v>65</v>
      </c>
      <c r="C43">
        <v>542</v>
      </c>
      <c r="D43" s="1">
        <v>20.839075754057696</v>
      </c>
      <c r="E43" t="s">
        <v>10</v>
      </c>
    </row>
    <row r="44" spans="1:5" x14ac:dyDescent="0.2">
      <c r="A44" t="s">
        <v>2</v>
      </c>
      <c r="B44">
        <v>49</v>
      </c>
      <c r="C44">
        <v>549</v>
      </c>
      <c r="D44" s="1">
        <v>22.046140478467862</v>
      </c>
      <c r="E44" t="s">
        <v>10</v>
      </c>
    </row>
    <row r="45" spans="1:5" x14ac:dyDescent="0.2">
      <c r="A45" t="s">
        <v>2</v>
      </c>
      <c r="B45">
        <v>63</v>
      </c>
      <c r="C45">
        <v>559</v>
      </c>
      <c r="D45" s="1">
        <v>31.654659407418819</v>
      </c>
      <c r="E45" t="s">
        <v>10</v>
      </c>
    </row>
    <row r="46" spans="1:5" x14ac:dyDescent="0.2">
      <c r="A46" t="s">
        <v>2</v>
      </c>
      <c r="B46">
        <v>55</v>
      </c>
      <c r="C46">
        <v>564</v>
      </c>
      <c r="D46" s="1">
        <v>25.02874069039153</v>
      </c>
      <c r="E46" t="s">
        <v>10</v>
      </c>
    </row>
    <row r="47" spans="1:5" x14ac:dyDescent="0.2">
      <c r="A47" t="s">
        <v>2</v>
      </c>
      <c r="B47">
        <v>51</v>
      </c>
      <c r="C47">
        <v>566</v>
      </c>
      <c r="D47" s="1">
        <v>29.40257801049416</v>
      </c>
      <c r="E47" t="s">
        <v>10</v>
      </c>
    </row>
    <row r="48" spans="1:5" x14ac:dyDescent="0.2">
      <c r="A48" t="s">
        <v>2</v>
      </c>
      <c r="B48">
        <v>60</v>
      </c>
      <c r="C48">
        <v>567</v>
      </c>
      <c r="D48" s="1">
        <v>22.311232607829776</v>
      </c>
      <c r="E48" t="s">
        <v>10</v>
      </c>
    </row>
    <row r="49" spans="1:5" x14ac:dyDescent="0.2">
      <c r="A49" t="s">
        <v>2</v>
      </c>
      <c r="B49">
        <v>70</v>
      </c>
      <c r="C49">
        <v>572</v>
      </c>
      <c r="D49" s="1">
        <v>16.06734143935056</v>
      </c>
      <c r="E49" t="s">
        <v>10</v>
      </c>
    </row>
    <row r="50" spans="1:5" x14ac:dyDescent="0.2">
      <c r="A50" t="s">
        <v>2</v>
      </c>
      <c r="B50">
        <v>62</v>
      </c>
      <c r="C50">
        <v>573</v>
      </c>
      <c r="D50" s="1">
        <v>23.573507683401562</v>
      </c>
      <c r="E50" t="s">
        <v>10</v>
      </c>
    </row>
    <row r="51" spans="1:5" x14ac:dyDescent="0.2">
      <c r="A51" t="s">
        <v>2</v>
      </c>
      <c r="B51">
        <v>54</v>
      </c>
      <c r="C51">
        <v>579</v>
      </c>
      <c r="D51" s="1">
        <v>27.938859129243951</v>
      </c>
      <c r="E51" t="s">
        <v>10</v>
      </c>
    </row>
    <row r="52" spans="1:5" x14ac:dyDescent="0.2">
      <c r="A52" t="s">
        <v>2</v>
      </c>
      <c r="B52">
        <v>41</v>
      </c>
      <c r="C52">
        <v>586</v>
      </c>
      <c r="D52" s="1">
        <v>30.326294569010479</v>
      </c>
      <c r="E52" t="s">
        <v>10</v>
      </c>
    </row>
    <row r="53" spans="1:5" x14ac:dyDescent="0.2">
      <c r="A53" t="s">
        <v>2</v>
      </c>
      <c r="B53">
        <v>62</v>
      </c>
      <c r="C53">
        <v>595</v>
      </c>
      <c r="D53" s="1">
        <v>24.12173447160249</v>
      </c>
      <c r="E53" t="s">
        <v>10</v>
      </c>
    </row>
    <row r="54" spans="1:5" x14ac:dyDescent="0.2">
      <c r="A54" t="s">
        <v>2</v>
      </c>
      <c r="B54">
        <v>61</v>
      </c>
      <c r="C54">
        <v>595</v>
      </c>
      <c r="D54" s="1">
        <v>12.275641802021545</v>
      </c>
      <c r="E54" t="s">
        <v>10</v>
      </c>
    </row>
    <row r="55" spans="1:5" x14ac:dyDescent="0.2">
      <c r="A55" t="s">
        <v>2</v>
      </c>
      <c r="B55">
        <v>89</v>
      </c>
      <c r="C55">
        <v>599</v>
      </c>
      <c r="D55" s="1">
        <v>21.288480581303617</v>
      </c>
      <c r="E55" t="s">
        <v>10</v>
      </c>
    </row>
    <row r="56" spans="1:5" x14ac:dyDescent="0.2">
      <c r="A56" t="s">
        <v>2</v>
      </c>
      <c r="B56">
        <v>53</v>
      </c>
      <c r="C56">
        <v>601</v>
      </c>
      <c r="D56" s="1">
        <v>27.755994175975083</v>
      </c>
      <c r="E56" t="s">
        <v>10</v>
      </c>
    </row>
    <row r="57" spans="1:5" x14ac:dyDescent="0.2">
      <c r="A57" t="s">
        <v>2</v>
      </c>
      <c r="B57">
        <v>73</v>
      </c>
      <c r="C57">
        <v>605</v>
      </c>
      <c r="D57" s="1">
        <v>26.027913686639707</v>
      </c>
      <c r="E57" t="s">
        <v>10</v>
      </c>
    </row>
    <row r="58" spans="1:5" x14ac:dyDescent="0.2">
      <c r="A58" t="s">
        <v>2</v>
      </c>
      <c r="B58">
        <v>68</v>
      </c>
      <c r="C58">
        <v>606</v>
      </c>
      <c r="D58" s="1">
        <v>27.202934870574428</v>
      </c>
      <c r="E58" t="s">
        <v>10</v>
      </c>
    </row>
    <row r="59" spans="1:5" x14ac:dyDescent="0.2">
      <c r="A59" t="s">
        <v>2</v>
      </c>
      <c r="B59">
        <v>45</v>
      </c>
      <c r="C59">
        <v>609</v>
      </c>
      <c r="D59" s="1">
        <v>16.766547971650365</v>
      </c>
      <c r="E59" t="s">
        <v>10</v>
      </c>
    </row>
    <row r="60" spans="1:5" x14ac:dyDescent="0.2">
      <c r="A60" t="s">
        <v>2</v>
      </c>
      <c r="B60">
        <v>88</v>
      </c>
      <c r="C60">
        <v>611</v>
      </c>
      <c r="D60" s="1">
        <v>24.034615986073817</v>
      </c>
      <c r="E60" t="s">
        <v>10</v>
      </c>
    </row>
    <row r="61" spans="1:5" x14ac:dyDescent="0.2">
      <c r="A61" t="s">
        <v>2</v>
      </c>
      <c r="B61">
        <v>56</v>
      </c>
      <c r="C61">
        <v>611</v>
      </c>
      <c r="D61" s="1">
        <v>20.177952899291753</v>
      </c>
      <c r="E61" t="s">
        <v>10</v>
      </c>
    </row>
    <row r="62" spans="1:5" x14ac:dyDescent="0.2">
      <c r="A62" t="s">
        <v>2</v>
      </c>
      <c r="B62">
        <v>45</v>
      </c>
      <c r="C62">
        <v>616</v>
      </c>
      <c r="D62" s="1">
        <v>26.91145512059396</v>
      </c>
      <c r="E62" t="s">
        <v>10</v>
      </c>
    </row>
    <row r="63" spans="1:5" x14ac:dyDescent="0.2">
      <c r="A63" t="s">
        <v>2</v>
      </c>
      <c r="B63">
        <v>45</v>
      </c>
      <c r="C63">
        <v>623</v>
      </c>
      <c r="D63" s="1">
        <v>21.624930611564057</v>
      </c>
      <c r="E63" t="s">
        <v>10</v>
      </c>
    </row>
    <row r="64" spans="1:5" x14ac:dyDescent="0.2">
      <c r="A64" t="s">
        <v>2</v>
      </c>
      <c r="B64">
        <v>47</v>
      </c>
      <c r="C64">
        <v>625</v>
      </c>
      <c r="D64" s="1">
        <v>23.869670040118539</v>
      </c>
      <c r="E64" t="s">
        <v>10</v>
      </c>
    </row>
    <row r="65" spans="1:5" x14ac:dyDescent="0.2">
      <c r="A65" t="s">
        <v>2</v>
      </c>
      <c r="B65">
        <v>86</v>
      </c>
      <c r="C65">
        <v>625</v>
      </c>
      <c r="D65" s="1">
        <v>23.539493439206549</v>
      </c>
      <c r="E65" t="s">
        <v>10</v>
      </c>
    </row>
    <row r="66" spans="1:5" x14ac:dyDescent="0.2">
      <c r="A66" t="s">
        <v>2</v>
      </c>
      <c r="B66">
        <v>40</v>
      </c>
      <c r="C66">
        <v>627</v>
      </c>
      <c r="D66" s="1">
        <v>16.028940864573009</v>
      </c>
      <c r="E66" t="s">
        <v>10</v>
      </c>
    </row>
    <row r="67" spans="1:5" x14ac:dyDescent="0.2">
      <c r="A67" t="s">
        <v>2</v>
      </c>
      <c r="B67">
        <v>63</v>
      </c>
      <c r="C67">
        <v>631</v>
      </c>
      <c r="D67" s="1">
        <v>28.413108418007013</v>
      </c>
      <c r="E67" t="s">
        <v>10</v>
      </c>
    </row>
    <row r="68" spans="1:5" x14ac:dyDescent="0.2">
      <c r="A68" t="s">
        <v>2</v>
      </c>
      <c r="B68">
        <v>83</v>
      </c>
      <c r="C68">
        <v>644</v>
      </c>
      <c r="D68" s="1">
        <v>23.513093135565942</v>
      </c>
      <c r="E68" t="s">
        <v>9</v>
      </c>
    </row>
    <row r="69" spans="1:5" x14ac:dyDescent="0.2">
      <c r="A69" t="s">
        <v>2</v>
      </c>
      <c r="B69">
        <v>63</v>
      </c>
      <c r="C69">
        <v>646</v>
      </c>
      <c r="D69" s="1">
        <v>25.127615940008965</v>
      </c>
      <c r="E69" t="s">
        <v>9</v>
      </c>
    </row>
    <row r="70" spans="1:5" x14ac:dyDescent="0.2">
      <c r="A70" t="s">
        <v>2</v>
      </c>
      <c r="B70">
        <v>89</v>
      </c>
      <c r="C70">
        <v>649</v>
      </c>
      <c r="D70" s="1">
        <v>31.046643993346525</v>
      </c>
      <c r="E70" t="s">
        <v>9</v>
      </c>
    </row>
    <row r="71" spans="1:5" x14ac:dyDescent="0.2">
      <c r="A71" t="s">
        <v>2</v>
      </c>
      <c r="B71">
        <v>80</v>
      </c>
      <c r="C71">
        <v>654</v>
      </c>
      <c r="D71" s="1">
        <v>24.334917873864676</v>
      </c>
      <c r="E71" t="s">
        <v>9</v>
      </c>
    </row>
    <row r="72" spans="1:5" x14ac:dyDescent="0.2">
      <c r="A72" t="s">
        <v>2</v>
      </c>
      <c r="B72">
        <v>87</v>
      </c>
      <c r="C72">
        <v>661</v>
      </c>
      <c r="D72" s="1">
        <v>30.23582722005273</v>
      </c>
      <c r="E72" t="s">
        <v>9</v>
      </c>
    </row>
    <row r="73" spans="1:5" x14ac:dyDescent="0.2">
      <c r="A73" t="s">
        <v>2</v>
      </c>
      <c r="B73">
        <v>52</v>
      </c>
      <c r="C73">
        <v>663</v>
      </c>
      <c r="D73" s="1">
        <v>28.706165432427117</v>
      </c>
      <c r="E73" t="s">
        <v>9</v>
      </c>
    </row>
    <row r="74" spans="1:5" x14ac:dyDescent="0.2">
      <c r="A74" t="s">
        <v>2</v>
      </c>
      <c r="B74">
        <v>69</v>
      </c>
      <c r="C74">
        <v>665</v>
      </c>
      <c r="D74" s="1">
        <v>23.344681621851379</v>
      </c>
      <c r="E74" t="s">
        <v>9</v>
      </c>
    </row>
    <row r="75" spans="1:5" x14ac:dyDescent="0.2">
      <c r="A75" t="s">
        <v>2</v>
      </c>
      <c r="B75">
        <v>83</v>
      </c>
      <c r="C75">
        <v>669</v>
      </c>
      <c r="D75" s="1">
        <v>21.336349294584586</v>
      </c>
      <c r="E75" t="s">
        <v>9</v>
      </c>
    </row>
    <row r="76" spans="1:5" x14ac:dyDescent="0.2">
      <c r="A76" t="s">
        <v>2</v>
      </c>
      <c r="B76">
        <v>44</v>
      </c>
      <c r="C76">
        <v>672</v>
      </c>
      <c r="D76" s="1">
        <v>41.818726381738514</v>
      </c>
      <c r="E76" t="s">
        <v>9</v>
      </c>
    </row>
    <row r="77" spans="1:5" x14ac:dyDescent="0.2">
      <c r="A77" t="s">
        <v>2</v>
      </c>
      <c r="B77">
        <v>47</v>
      </c>
      <c r="C77">
        <v>685</v>
      </c>
      <c r="D77" s="1">
        <v>31.930403692557949</v>
      </c>
      <c r="E77" t="s">
        <v>9</v>
      </c>
    </row>
    <row r="78" spans="1:5" x14ac:dyDescent="0.2">
      <c r="A78" t="s">
        <v>2</v>
      </c>
      <c r="B78">
        <v>72</v>
      </c>
      <c r="C78">
        <v>687</v>
      </c>
      <c r="D78" s="1">
        <v>22.914615474102806</v>
      </c>
      <c r="E78" t="s">
        <v>9</v>
      </c>
    </row>
    <row r="79" spans="1:5" x14ac:dyDescent="0.2">
      <c r="A79" t="s">
        <v>2</v>
      </c>
      <c r="B79">
        <v>49</v>
      </c>
      <c r="C79">
        <v>688</v>
      </c>
      <c r="D79" s="1">
        <v>29.042322528430386</v>
      </c>
      <c r="E79" t="s">
        <v>9</v>
      </c>
    </row>
    <row r="80" spans="1:5" x14ac:dyDescent="0.2">
      <c r="A80" t="s">
        <v>2</v>
      </c>
      <c r="B80">
        <v>83</v>
      </c>
      <c r="C80">
        <v>688</v>
      </c>
      <c r="D80" s="1">
        <v>27.420280489420218</v>
      </c>
      <c r="E80" t="s">
        <v>9</v>
      </c>
    </row>
    <row r="81" spans="1:5" x14ac:dyDescent="0.2">
      <c r="A81" t="s">
        <v>2</v>
      </c>
      <c r="B81">
        <v>63</v>
      </c>
      <c r="C81">
        <v>690</v>
      </c>
      <c r="D81" s="1">
        <v>29.203278185481366</v>
      </c>
      <c r="E81" t="s">
        <v>9</v>
      </c>
    </row>
    <row r="82" spans="1:5" x14ac:dyDescent="0.2">
      <c r="A82" t="s">
        <v>2</v>
      </c>
      <c r="B82">
        <v>57</v>
      </c>
      <c r="C82">
        <v>695</v>
      </c>
      <c r="D82" s="1">
        <v>29.778266637843117</v>
      </c>
      <c r="E82" t="s">
        <v>9</v>
      </c>
    </row>
    <row r="83" spans="1:5" x14ac:dyDescent="0.2">
      <c r="A83" t="s">
        <v>2</v>
      </c>
      <c r="B83">
        <v>50</v>
      </c>
      <c r="C83">
        <v>701</v>
      </c>
      <c r="D83" s="1">
        <v>34.133393224680546</v>
      </c>
      <c r="E83" t="s">
        <v>9</v>
      </c>
    </row>
    <row r="84" spans="1:5" x14ac:dyDescent="0.2">
      <c r="A84" t="s">
        <v>2</v>
      </c>
      <c r="B84">
        <v>83</v>
      </c>
      <c r="C84">
        <v>702</v>
      </c>
      <c r="D84" s="1">
        <v>24.512964346852286</v>
      </c>
      <c r="E84" t="s">
        <v>9</v>
      </c>
    </row>
    <row r="85" spans="1:5" x14ac:dyDescent="0.2">
      <c r="A85" t="s">
        <v>2</v>
      </c>
      <c r="B85">
        <v>74</v>
      </c>
      <c r="C85">
        <v>707</v>
      </c>
      <c r="D85" s="1">
        <v>25.327104416192544</v>
      </c>
      <c r="E85" t="s">
        <v>9</v>
      </c>
    </row>
    <row r="86" spans="1:5" x14ac:dyDescent="0.2">
      <c r="A86" t="s">
        <v>2</v>
      </c>
      <c r="B86">
        <v>50</v>
      </c>
      <c r="C86">
        <v>713</v>
      </c>
      <c r="D86" s="1">
        <v>15.877809011400686</v>
      </c>
      <c r="E86" t="s">
        <v>9</v>
      </c>
    </row>
    <row r="87" spans="1:5" x14ac:dyDescent="0.2">
      <c r="A87" t="s">
        <v>2</v>
      </c>
      <c r="B87">
        <v>81</v>
      </c>
      <c r="C87">
        <v>714</v>
      </c>
      <c r="D87" s="1">
        <v>23.820754593423551</v>
      </c>
      <c r="E87" t="s">
        <v>9</v>
      </c>
    </row>
    <row r="88" spans="1:5" x14ac:dyDescent="0.2">
      <c r="A88" t="s">
        <v>2</v>
      </c>
      <c r="B88">
        <v>67</v>
      </c>
      <c r="C88">
        <v>717</v>
      </c>
      <c r="D88" s="1">
        <v>20.933797963221181</v>
      </c>
      <c r="E88" t="s">
        <v>9</v>
      </c>
    </row>
    <row r="89" spans="1:5" x14ac:dyDescent="0.2">
      <c r="A89" t="s">
        <v>2</v>
      </c>
      <c r="B89">
        <v>70</v>
      </c>
      <c r="C89">
        <v>720</v>
      </c>
      <c r="D89" s="1">
        <v>31.662324357095422</v>
      </c>
      <c r="E89" t="s">
        <v>9</v>
      </c>
    </row>
    <row r="90" spans="1:5" x14ac:dyDescent="0.2">
      <c r="A90" t="s">
        <v>2</v>
      </c>
      <c r="B90">
        <v>56</v>
      </c>
      <c r="C90">
        <v>724</v>
      </c>
      <c r="D90" s="1">
        <v>21.018262677658797</v>
      </c>
      <c r="E90" t="s">
        <v>9</v>
      </c>
    </row>
    <row r="91" spans="1:5" x14ac:dyDescent="0.2">
      <c r="A91" t="s">
        <v>2</v>
      </c>
      <c r="B91">
        <v>48</v>
      </c>
      <c r="C91">
        <v>725</v>
      </c>
      <c r="D91" s="1">
        <v>28.157825362537842</v>
      </c>
      <c r="E91" t="s">
        <v>9</v>
      </c>
    </row>
    <row r="92" spans="1:5" x14ac:dyDescent="0.2">
      <c r="A92" t="s">
        <v>2</v>
      </c>
      <c r="B92">
        <v>62</v>
      </c>
      <c r="C92">
        <v>727</v>
      </c>
      <c r="D92" s="1">
        <v>26.503042888651859</v>
      </c>
      <c r="E92" t="s">
        <v>9</v>
      </c>
    </row>
    <row r="93" spans="1:5" x14ac:dyDescent="0.2">
      <c r="A93" t="s">
        <v>2</v>
      </c>
      <c r="B93">
        <v>52</v>
      </c>
      <c r="C93">
        <v>733</v>
      </c>
      <c r="D93" s="1">
        <v>23.001894735197649</v>
      </c>
      <c r="E93" t="s">
        <v>9</v>
      </c>
    </row>
    <row r="94" spans="1:5" x14ac:dyDescent="0.2">
      <c r="A94" t="s">
        <v>2</v>
      </c>
      <c r="B94">
        <v>86</v>
      </c>
      <c r="C94">
        <v>734</v>
      </c>
      <c r="D94" s="1">
        <v>26.01194696096913</v>
      </c>
      <c r="E94" t="s">
        <v>9</v>
      </c>
    </row>
    <row r="95" spans="1:5" x14ac:dyDescent="0.2">
      <c r="A95" t="s">
        <v>2</v>
      </c>
      <c r="B95">
        <v>64</v>
      </c>
      <c r="C95">
        <v>736</v>
      </c>
      <c r="D95" s="1">
        <v>40.408333650867995</v>
      </c>
      <c r="E95" t="s">
        <v>9</v>
      </c>
    </row>
    <row r="96" spans="1:5" x14ac:dyDescent="0.2">
      <c r="A96" t="s">
        <v>2</v>
      </c>
      <c r="B96">
        <v>81</v>
      </c>
      <c r="C96">
        <v>737</v>
      </c>
      <c r="D96" s="1">
        <v>37.203901819488728</v>
      </c>
      <c r="E96" t="s">
        <v>9</v>
      </c>
    </row>
    <row r="97" spans="1:5" x14ac:dyDescent="0.2">
      <c r="A97" t="s">
        <v>2</v>
      </c>
      <c r="B97">
        <v>86</v>
      </c>
      <c r="C97">
        <v>738</v>
      </c>
      <c r="D97" s="1">
        <v>21.998785284485923</v>
      </c>
      <c r="E97" t="s">
        <v>9</v>
      </c>
    </row>
    <row r="98" spans="1:5" x14ac:dyDescent="0.2">
      <c r="A98" t="s">
        <v>2</v>
      </c>
      <c r="B98">
        <v>59</v>
      </c>
      <c r="C98">
        <v>739</v>
      </c>
      <c r="D98" s="1">
        <v>37.154040582917133</v>
      </c>
      <c r="E98" t="s">
        <v>9</v>
      </c>
    </row>
    <row r="99" spans="1:5" x14ac:dyDescent="0.2">
      <c r="A99" t="s">
        <v>2</v>
      </c>
      <c r="B99">
        <v>66</v>
      </c>
      <c r="C99">
        <v>740</v>
      </c>
      <c r="D99" s="1">
        <v>20.159225374607761</v>
      </c>
      <c r="E99" t="s">
        <v>9</v>
      </c>
    </row>
    <row r="100" spans="1:5" x14ac:dyDescent="0.2">
      <c r="A100" t="s">
        <v>2</v>
      </c>
      <c r="B100">
        <v>42</v>
      </c>
      <c r="C100">
        <v>746</v>
      </c>
      <c r="D100" s="1">
        <v>27.643234722359775</v>
      </c>
      <c r="E100" t="s">
        <v>9</v>
      </c>
    </row>
    <row r="101" spans="1:5" x14ac:dyDescent="0.2">
      <c r="A101" t="s">
        <v>2</v>
      </c>
      <c r="B101">
        <v>83</v>
      </c>
      <c r="C101">
        <v>750</v>
      </c>
      <c r="D101" s="1">
        <v>28.268851640825478</v>
      </c>
      <c r="E101" t="s">
        <v>9</v>
      </c>
    </row>
    <row r="102" spans="1:5" x14ac:dyDescent="0.2">
      <c r="A102" t="s">
        <v>1</v>
      </c>
      <c r="B102">
        <v>32</v>
      </c>
      <c r="C102" s="1">
        <v>102.38710027421307</v>
      </c>
      <c r="D102" s="1">
        <v>8.945521395259858</v>
      </c>
      <c r="E102" t="s">
        <v>8</v>
      </c>
    </row>
    <row r="103" spans="1:5" x14ac:dyDescent="0.2">
      <c r="A103" t="s">
        <v>1</v>
      </c>
      <c r="B103">
        <v>31</v>
      </c>
      <c r="C103" s="1">
        <v>117.8835928900325</v>
      </c>
      <c r="D103" s="1">
        <v>23.943036208305255</v>
      </c>
      <c r="E103" t="s">
        <v>8</v>
      </c>
    </row>
    <row r="104" spans="1:5" x14ac:dyDescent="0.2">
      <c r="A104" t="s">
        <v>1</v>
      </c>
      <c r="B104">
        <v>20</v>
      </c>
      <c r="C104" s="1">
        <v>122.9341784440149</v>
      </c>
      <c r="D104" s="1">
        <v>12.116262615621711</v>
      </c>
      <c r="E104" t="s">
        <v>8</v>
      </c>
    </row>
    <row r="105" spans="1:5" x14ac:dyDescent="0.2">
      <c r="A105" t="s">
        <v>1</v>
      </c>
      <c r="B105">
        <v>51</v>
      </c>
      <c r="C105" s="1">
        <v>125.7701683516176</v>
      </c>
      <c r="D105" s="1">
        <v>19.903633853516144</v>
      </c>
      <c r="E105" t="s">
        <v>8</v>
      </c>
    </row>
    <row r="106" spans="1:5" x14ac:dyDescent="0.2">
      <c r="A106" t="s">
        <v>1</v>
      </c>
      <c r="B106">
        <v>31</v>
      </c>
      <c r="C106" s="1">
        <v>133.4448206482989</v>
      </c>
      <c r="D106" s="1">
        <v>13.793949378928454</v>
      </c>
      <c r="E106" t="s">
        <v>8</v>
      </c>
    </row>
    <row r="107" spans="1:5" x14ac:dyDescent="0.2">
      <c r="A107" t="s">
        <v>1</v>
      </c>
      <c r="B107">
        <v>24</v>
      </c>
      <c r="C107" s="1">
        <v>137.11529013257308</v>
      </c>
      <c r="D107" s="1">
        <v>20.626298321822361</v>
      </c>
      <c r="E107" t="s">
        <v>8</v>
      </c>
    </row>
    <row r="108" spans="1:5" x14ac:dyDescent="0.2">
      <c r="A108" t="s">
        <v>1</v>
      </c>
      <c r="B108">
        <v>34</v>
      </c>
      <c r="C108" s="1">
        <v>141.40252890251418</v>
      </c>
      <c r="D108" s="1">
        <v>25.698726112209719</v>
      </c>
      <c r="E108" t="s">
        <v>8</v>
      </c>
    </row>
    <row r="109" spans="1:5" x14ac:dyDescent="0.2">
      <c r="A109" t="s">
        <v>1</v>
      </c>
      <c r="B109">
        <v>58</v>
      </c>
      <c r="C109" s="1">
        <v>146.99718852390066</v>
      </c>
      <c r="D109" s="1">
        <v>22.426838946188425</v>
      </c>
      <c r="E109" t="s">
        <v>8</v>
      </c>
    </row>
    <row r="110" spans="1:5" x14ac:dyDescent="0.2">
      <c r="A110" t="s">
        <v>1</v>
      </c>
      <c r="B110">
        <v>55</v>
      </c>
      <c r="C110" s="1">
        <v>149.94337512100921</v>
      </c>
      <c r="D110" s="1">
        <v>12.25114600421734</v>
      </c>
      <c r="E110" t="s">
        <v>8</v>
      </c>
    </row>
    <row r="111" spans="1:5" x14ac:dyDescent="0.2">
      <c r="A111" t="s">
        <v>1</v>
      </c>
      <c r="B111">
        <v>50</v>
      </c>
      <c r="C111" s="1">
        <v>150.93282234163033</v>
      </c>
      <c r="D111" s="1">
        <v>19.25076436532424</v>
      </c>
      <c r="E111" t="s">
        <v>8</v>
      </c>
    </row>
    <row r="112" spans="1:5" x14ac:dyDescent="0.2">
      <c r="A112" t="s">
        <v>1</v>
      </c>
      <c r="B112">
        <v>47</v>
      </c>
      <c r="C112" s="1">
        <v>166.41527798140478</v>
      </c>
      <c r="D112" s="1">
        <v>4.9470260646703927</v>
      </c>
      <c r="E112" t="s">
        <v>8</v>
      </c>
    </row>
    <row r="113" spans="1:5" x14ac:dyDescent="0.2">
      <c r="A113" t="s">
        <v>1</v>
      </c>
      <c r="B113">
        <v>7</v>
      </c>
      <c r="C113" s="1">
        <v>168.60333246405361</v>
      </c>
      <c r="D113" s="1">
        <v>19.153866016001817</v>
      </c>
      <c r="E113" t="s">
        <v>8</v>
      </c>
    </row>
    <row r="114" spans="1:5" x14ac:dyDescent="0.2">
      <c r="A114" t="s">
        <v>1</v>
      </c>
      <c r="B114">
        <v>16</v>
      </c>
      <c r="C114" s="1">
        <v>171.11626331181043</v>
      </c>
      <c r="D114" s="1">
        <v>21.80081006986811</v>
      </c>
      <c r="E114" t="s">
        <v>8</v>
      </c>
    </row>
    <row r="115" spans="1:5" x14ac:dyDescent="0.2">
      <c r="A115" t="s">
        <v>1</v>
      </c>
      <c r="B115">
        <v>21</v>
      </c>
      <c r="C115" s="1">
        <v>184.49231178988748</v>
      </c>
      <c r="D115" s="1">
        <v>28.152102825991193</v>
      </c>
      <c r="E115" t="s">
        <v>8</v>
      </c>
    </row>
    <row r="116" spans="1:5" x14ac:dyDescent="0.2">
      <c r="A116" t="s">
        <v>1</v>
      </c>
      <c r="B116">
        <v>58</v>
      </c>
      <c r="C116" s="1">
        <v>191.76734689178056</v>
      </c>
      <c r="D116" s="1">
        <v>12.557288695532545</v>
      </c>
      <c r="E116" t="s">
        <v>8</v>
      </c>
    </row>
    <row r="117" spans="1:5" x14ac:dyDescent="0.2">
      <c r="A117" t="s">
        <v>1</v>
      </c>
      <c r="B117">
        <v>25</v>
      </c>
      <c r="C117" s="1">
        <v>192.85604261412317</v>
      </c>
      <c r="D117" s="1">
        <v>14.214441400380043</v>
      </c>
      <c r="E117" t="s">
        <v>8</v>
      </c>
    </row>
    <row r="118" spans="1:5" x14ac:dyDescent="0.2">
      <c r="A118" t="s">
        <v>1</v>
      </c>
      <c r="B118">
        <v>43</v>
      </c>
      <c r="C118" s="1">
        <v>203.48548018994208</v>
      </c>
      <c r="D118" s="1">
        <v>22.418213992682674</v>
      </c>
      <c r="E118" t="s">
        <v>8</v>
      </c>
    </row>
    <row r="119" spans="1:5" x14ac:dyDescent="0.2">
      <c r="A119" t="s">
        <v>1</v>
      </c>
      <c r="B119">
        <v>19</v>
      </c>
      <c r="C119" s="1">
        <v>205.84306400023502</v>
      </c>
      <c r="D119" s="1">
        <v>21.547065671429401</v>
      </c>
      <c r="E119" t="s">
        <v>8</v>
      </c>
    </row>
    <row r="120" spans="1:5" x14ac:dyDescent="0.2">
      <c r="A120" t="s">
        <v>1</v>
      </c>
      <c r="B120">
        <v>16</v>
      </c>
      <c r="C120" s="1">
        <v>210.08151936956989</v>
      </c>
      <c r="D120" s="1">
        <v>23.703620916100682</v>
      </c>
      <c r="E120" t="s">
        <v>8</v>
      </c>
    </row>
    <row r="121" spans="1:5" x14ac:dyDescent="0.2">
      <c r="A121" t="s">
        <v>1</v>
      </c>
      <c r="B121">
        <v>54</v>
      </c>
      <c r="C121" s="1">
        <v>220.90064541211564</v>
      </c>
      <c r="D121" s="1">
        <v>18.644172980492865</v>
      </c>
      <c r="E121" t="s">
        <v>8</v>
      </c>
    </row>
    <row r="122" spans="1:5" x14ac:dyDescent="0.2">
      <c r="A122" t="s">
        <v>1</v>
      </c>
      <c r="B122">
        <v>7</v>
      </c>
      <c r="C122" s="1">
        <v>222.27667979996116</v>
      </c>
      <c r="D122" s="1">
        <v>19.322147561873287</v>
      </c>
      <c r="E122" t="s">
        <v>8</v>
      </c>
    </row>
    <row r="123" spans="1:5" x14ac:dyDescent="0.2">
      <c r="A123" t="s">
        <v>1</v>
      </c>
      <c r="B123">
        <v>10</v>
      </c>
      <c r="C123" s="1">
        <v>229.5124751312492</v>
      </c>
      <c r="D123" s="1">
        <v>17.786458605533586</v>
      </c>
      <c r="E123" t="s">
        <v>8</v>
      </c>
    </row>
    <row r="124" spans="1:5" x14ac:dyDescent="0.2">
      <c r="A124" t="s">
        <v>1</v>
      </c>
      <c r="B124">
        <v>57</v>
      </c>
      <c r="C124" s="1">
        <v>229.66622688813868</v>
      </c>
      <c r="D124" s="1">
        <v>25.371262695187749</v>
      </c>
      <c r="E124" t="s">
        <v>8</v>
      </c>
    </row>
    <row r="125" spans="1:5" x14ac:dyDescent="0.2">
      <c r="A125" t="s">
        <v>1</v>
      </c>
      <c r="B125">
        <v>41</v>
      </c>
      <c r="C125" s="1">
        <v>234.00217196774111</v>
      </c>
      <c r="D125" s="1">
        <v>16.432122140153609</v>
      </c>
      <c r="E125" t="s">
        <v>8</v>
      </c>
    </row>
    <row r="126" spans="1:5" x14ac:dyDescent="0.2">
      <c r="A126" t="s">
        <v>1</v>
      </c>
      <c r="B126">
        <v>39</v>
      </c>
      <c r="C126" s="1">
        <v>237.08734263017507</v>
      </c>
      <c r="D126" s="1">
        <v>26.163964240002201</v>
      </c>
      <c r="E126" t="s">
        <v>8</v>
      </c>
    </row>
    <row r="127" spans="1:5" x14ac:dyDescent="0.2">
      <c r="A127" t="s">
        <v>1</v>
      </c>
      <c r="B127">
        <v>24</v>
      </c>
      <c r="C127" s="1">
        <v>239.64001535977476</v>
      </c>
      <c r="D127" s="1">
        <v>18.078555645746697</v>
      </c>
      <c r="E127" t="s">
        <v>8</v>
      </c>
    </row>
    <row r="128" spans="1:5" x14ac:dyDescent="0.2">
      <c r="A128" t="s">
        <v>1</v>
      </c>
      <c r="B128">
        <v>39</v>
      </c>
      <c r="C128" s="1">
        <v>239.7301873542971</v>
      </c>
      <c r="D128" s="1">
        <v>21.189079417028104</v>
      </c>
      <c r="E128" t="s">
        <v>8</v>
      </c>
    </row>
    <row r="129" spans="1:5" x14ac:dyDescent="0.2">
      <c r="A129" t="s">
        <v>1</v>
      </c>
      <c r="B129">
        <v>52</v>
      </c>
      <c r="C129" s="1">
        <v>244.96189764222089</v>
      </c>
      <c r="D129" s="1">
        <v>15.043693464890044</v>
      </c>
      <c r="E129" t="s">
        <v>10</v>
      </c>
    </row>
    <row r="130" spans="1:5" x14ac:dyDescent="0.2">
      <c r="A130" t="s">
        <v>1</v>
      </c>
      <c r="B130">
        <v>20</v>
      </c>
      <c r="C130" s="1">
        <v>246.10874796554674</v>
      </c>
      <c r="D130" s="1">
        <v>17.891013230722514</v>
      </c>
      <c r="E130" t="s">
        <v>10</v>
      </c>
    </row>
    <row r="131" spans="1:5" x14ac:dyDescent="0.2">
      <c r="A131" t="s">
        <v>1</v>
      </c>
      <c r="B131">
        <v>35</v>
      </c>
      <c r="C131" s="1">
        <v>260.0152316529859</v>
      </c>
      <c r="D131" s="1">
        <v>21.465217663361258</v>
      </c>
      <c r="E131" t="s">
        <v>10</v>
      </c>
    </row>
    <row r="132" spans="1:5" x14ac:dyDescent="0.2">
      <c r="A132" t="s">
        <v>1</v>
      </c>
      <c r="B132">
        <v>13</v>
      </c>
      <c r="C132" s="1">
        <v>268.12766866645791</v>
      </c>
      <c r="D132" s="1">
        <v>13.330477275669242</v>
      </c>
      <c r="E132" t="s">
        <v>10</v>
      </c>
    </row>
    <row r="133" spans="1:5" x14ac:dyDescent="0.2">
      <c r="A133" t="s">
        <v>1</v>
      </c>
      <c r="B133">
        <v>50</v>
      </c>
      <c r="C133" s="1">
        <v>269.23705173375981</v>
      </c>
      <c r="D133" s="1">
        <v>18.065617750950445</v>
      </c>
      <c r="E133" t="s">
        <v>10</v>
      </c>
    </row>
    <row r="134" spans="1:5" x14ac:dyDescent="0.2">
      <c r="A134" t="s">
        <v>1</v>
      </c>
      <c r="B134">
        <v>52</v>
      </c>
      <c r="C134" s="1">
        <v>269.37848345647666</v>
      </c>
      <c r="D134" s="1">
        <v>13.810486950703101</v>
      </c>
      <c r="E134" t="s">
        <v>10</v>
      </c>
    </row>
    <row r="135" spans="1:5" x14ac:dyDescent="0.2">
      <c r="A135" t="s">
        <v>1</v>
      </c>
      <c r="B135">
        <v>30</v>
      </c>
      <c r="C135" s="1">
        <v>273.63431339321278</v>
      </c>
      <c r="D135" s="1">
        <v>14.682619994964018</v>
      </c>
      <c r="E135" t="s">
        <v>10</v>
      </c>
    </row>
    <row r="136" spans="1:5" x14ac:dyDescent="0.2">
      <c r="A136" t="s">
        <v>1</v>
      </c>
      <c r="B136">
        <v>21</v>
      </c>
      <c r="C136" s="1">
        <v>291.67649332356086</v>
      </c>
      <c r="D136" s="1">
        <v>15.913249869372608</v>
      </c>
      <c r="E136" t="s">
        <v>10</v>
      </c>
    </row>
    <row r="137" spans="1:5" x14ac:dyDescent="0.2">
      <c r="A137" t="s">
        <v>1</v>
      </c>
      <c r="B137">
        <v>14</v>
      </c>
      <c r="C137" s="1">
        <v>292.9170779799656</v>
      </c>
      <c r="D137" s="1">
        <v>27.84537735253879</v>
      </c>
      <c r="E137" t="s">
        <v>10</v>
      </c>
    </row>
    <row r="138" spans="1:5" x14ac:dyDescent="0.2">
      <c r="A138" t="s">
        <v>1</v>
      </c>
      <c r="B138">
        <v>27</v>
      </c>
      <c r="C138" s="1">
        <v>297.57294586264607</v>
      </c>
      <c r="D138" s="1">
        <v>18.157469391681154</v>
      </c>
      <c r="E138" t="s">
        <v>10</v>
      </c>
    </row>
    <row r="139" spans="1:5" x14ac:dyDescent="0.2">
      <c r="A139" t="s">
        <v>1</v>
      </c>
      <c r="B139">
        <v>19</v>
      </c>
      <c r="C139" s="1">
        <v>300.34692628001915</v>
      </c>
      <c r="D139" s="1">
        <v>14.708616583790139</v>
      </c>
      <c r="E139" t="s">
        <v>10</v>
      </c>
    </row>
    <row r="140" spans="1:5" x14ac:dyDescent="0.2">
      <c r="A140" t="s">
        <v>1</v>
      </c>
      <c r="B140">
        <v>13</v>
      </c>
      <c r="C140" s="1">
        <v>302.60743753033546</v>
      </c>
      <c r="D140" s="1">
        <v>22.651906137298468</v>
      </c>
      <c r="E140" t="s">
        <v>10</v>
      </c>
    </row>
    <row r="141" spans="1:5" x14ac:dyDescent="0.2">
      <c r="A141" t="s">
        <v>1</v>
      </c>
      <c r="B141">
        <v>32</v>
      </c>
      <c r="C141" s="1">
        <v>315.24807589468685</v>
      </c>
      <c r="D141" s="1">
        <v>20.452039715776998</v>
      </c>
      <c r="E141" t="s">
        <v>10</v>
      </c>
    </row>
    <row r="142" spans="1:5" x14ac:dyDescent="0.2">
      <c r="A142" t="s">
        <v>1</v>
      </c>
      <c r="B142">
        <v>55</v>
      </c>
      <c r="C142" s="1">
        <v>318.72118832110533</v>
      </c>
      <c r="D142" s="1">
        <v>14.339103985809681</v>
      </c>
      <c r="E142" t="s">
        <v>10</v>
      </c>
    </row>
    <row r="143" spans="1:5" x14ac:dyDescent="0.2">
      <c r="A143" t="s">
        <v>1</v>
      </c>
      <c r="B143">
        <v>42</v>
      </c>
      <c r="C143" s="1">
        <v>325.09444198378281</v>
      </c>
      <c r="D143" s="1">
        <v>19.219135177168543</v>
      </c>
      <c r="E143" t="s">
        <v>10</v>
      </c>
    </row>
    <row r="144" spans="1:5" x14ac:dyDescent="0.2">
      <c r="A144" t="s">
        <v>1</v>
      </c>
      <c r="B144">
        <v>24</v>
      </c>
      <c r="C144" s="1">
        <v>341.82283568670027</v>
      </c>
      <c r="D144" s="1">
        <v>17.002773843678384</v>
      </c>
      <c r="E144" t="s">
        <v>10</v>
      </c>
    </row>
    <row r="145" spans="1:5" x14ac:dyDescent="0.2">
      <c r="A145" t="s">
        <v>1</v>
      </c>
      <c r="B145">
        <v>9</v>
      </c>
      <c r="C145" s="1">
        <v>348.29187314876856</v>
      </c>
      <c r="D145" s="1">
        <v>22.305771563087276</v>
      </c>
      <c r="E145" t="s">
        <v>10</v>
      </c>
    </row>
    <row r="146" spans="1:5" x14ac:dyDescent="0.2">
      <c r="A146" t="s">
        <v>1</v>
      </c>
      <c r="B146">
        <v>57</v>
      </c>
      <c r="C146" s="1">
        <v>351.13905141342616</v>
      </c>
      <c r="D146" s="1">
        <v>19.837148253338651</v>
      </c>
      <c r="E146" t="s">
        <v>10</v>
      </c>
    </row>
    <row r="147" spans="1:5" x14ac:dyDescent="0.2">
      <c r="A147" t="s">
        <v>1</v>
      </c>
      <c r="B147">
        <v>26</v>
      </c>
      <c r="C147" s="1">
        <v>354.29346710281345</v>
      </c>
      <c r="D147" s="1">
        <v>26.136833582825847</v>
      </c>
      <c r="E147" t="s">
        <v>10</v>
      </c>
    </row>
    <row r="148" spans="1:5" x14ac:dyDescent="0.2">
      <c r="A148" t="s">
        <v>1</v>
      </c>
      <c r="B148">
        <v>12</v>
      </c>
      <c r="C148" s="1">
        <v>354.49580445236018</v>
      </c>
      <c r="D148" s="1">
        <v>18.413019712877531</v>
      </c>
      <c r="E148" t="s">
        <v>10</v>
      </c>
    </row>
    <row r="149" spans="1:5" x14ac:dyDescent="0.2">
      <c r="A149" t="s">
        <v>1</v>
      </c>
      <c r="B149">
        <v>35</v>
      </c>
      <c r="C149" s="1">
        <v>355.25668996264358</v>
      </c>
      <c r="D149" s="1">
        <v>15.999941598969182</v>
      </c>
      <c r="E149" t="s">
        <v>10</v>
      </c>
    </row>
    <row r="150" spans="1:5" x14ac:dyDescent="0.2">
      <c r="A150" t="s">
        <v>1</v>
      </c>
      <c r="B150">
        <v>22</v>
      </c>
      <c r="C150" s="1">
        <v>362.95239232320722</v>
      </c>
      <c r="D150" s="1">
        <v>21.860224765036882</v>
      </c>
      <c r="E150" t="s">
        <v>10</v>
      </c>
    </row>
    <row r="151" spans="1:5" x14ac:dyDescent="0.2">
      <c r="A151" t="s">
        <v>1</v>
      </c>
      <c r="B151">
        <v>20</v>
      </c>
      <c r="C151" s="1">
        <v>364.28655362113363</v>
      </c>
      <c r="D151" s="1">
        <v>17.200149094005198</v>
      </c>
      <c r="E151" t="s">
        <v>10</v>
      </c>
    </row>
    <row r="152" spans="1:5" x14ac:dyDescent="0.2">
      <c r="A152" t="s">
        <v>1</v>
      </c>
      <c r="B152">
        <v>31</v>
      </c>
      <c r="C152" s="1">
        <v>364.80000731582544</v>
      </c>
      <c r="D152" s="1">
        <v>19.246521828094913</v>
      </c>
      <c r="E152" t="s">
        <v>10</v>
      </c>
    </row>
    <row r="153" spans="1:5" x14ac:dyDescent="0.2">
      <c r="A153" t="s">
        <v>1</v>
      </c>
      <c r="B153">
        <v>6</v>
      </c>
      <c r="C153" s="1">
        <v>374.36574328588262</v>
      </c>
      <c r="D153" s="1">
        <v>29.878979300254006</v>
      </c>
      <c r="E153" t="s">
        <v>10</v>
      </c>
    </row>
    <row r="154" spans="1:5" x14ac:dyDescent="0.2">
      <c r="A154" t="s">
        <v>1</v>
      </c>
      <c r="B154">
        <v>25</v>
      </c>
      <c r="C154" s="1">
        <v>375.87357436532636</v>
      </c>
      <c r="D154" s="1">
        <v>17.253918617590656</v>
      </c>
      <c r="E154" t="s">
        <v>10</v>
      </c>
    </row>
    <row r="155" spans="1:5" x14ac:dyDescent="0.2">
      <c r="A155" t="s">
        <v>1</v>
      </c>
      <c r="B155">
        <v>45</v>
      </c>
      <c r="C155" s="1">
        <v>384.34202519063825</v>
      </c>
      <c r="D155" s="1">
        <v>20.783882817040816</v>
      </c>
      <c r="E155" t="s">
        <v>10</v>
      </c>
    </row>
    <row r="156" spans="1:5" x14ac:dyDescent="0.2">
      <c r="A156" t="s">
        <v>1</v>
      </c>
      <c r="B156">
        <v>51</v>
      </c>
      <c r="C156" s="1">
        <v>393.63650290001664</v>
      </c>
      <c r="D156" s="1">
        <v>18.838265524767792</v>
      </c>
      <c r="E156" t="s">
        <v>10</v>
      </c>
    </row>
    <row r="157" spans="1:5" x14ac:dyDescent="0.2">
      <c r="A157" t="s">
        <v>1</v>
      </c>
      <c r="B157">
        <v>60</v>
      </c>
      <c r="C157" s="1">
        <v>395.30900367654755</v>
      </c>
      <c r="D157" s="1">
        <v>17.632596529576325</v>
      </c>
      <c r="E157" t="s">
        <v>10</v>
      </c>
    </row>
    <row r="158" spans="1:5" x14ac:dyDescent="0.2">
      <c r="A158" t="s">
        <v>1</v>
      </c>
      <c r="B158">
        <v>48</v>
      </c>
      <c r="C158" s="1">
        <v>396.0169192929647</v>
      </c>
      <c r="D158" s="1">
        <v>14.423483940414563</v>
      </c>
      <c r="E158" t="s">
        <v>10</v>
      </c>
    </row>
    <row r="159" spans="1:5" x14ac:dyDescent="0.2">
      <c r="A159" t="s">
        <v>1</v>
      </c>
      <c r="B159">
        <v>41</v>
      </c>
      <c r="C159" s="1">
        <v>397.34443525221587</v>
      </c>
      <c r="D159" s="1">
        <v>17.61005690125733</v>
      </c>
      <c r="E159" t="s">
        <v>10</v>
      </c>
    </row>
    <row r="160" spans="1:5" x14ac:dyDescent="0.2">
      <c r="A160" t="s">
        <v>1</v>
      </c>
      <c r="B160">
        <v>15</v>
      </c>
      <c r="C160" s="1">
        <v>407.8611222005776</v>
      </c>
      <c r="D160" s="1">
        <v>19.950713052418877</v>
      </c>
      <c r="E160" t="s">
        <v>10</v>
      </c>
    </row>
    <row r="161" spans="1:5" x14ac:dyDescent="0.2">
      <c r="A161" t="s">
        <v>1</v>
      </c>
      <c r="B161">
        <v>35</v>
      </c>
      <c r="C161" s="1">
        <v>414.63396656812438</v>
      </c>
      <c r="D161" s="1">
        <v>21.733266943397584</v>
      </c>
      <c r="E161" t="s">
        <v>10</v>
      </c>
    </row>
    <row r="162" spans="1:5" x14ac:dyDescent="0.2">
      <c r="A162" t="s">
        <v>1</v>
      </c>
      <c r="B162">
        <v>59</v>
      </c>
      <c r="C162" s="1">
        <v>416.9180625659954</v>
      </c>
      <c r="D162" s="1">
        <v>18.599277484859176</v>
      </c>
      <c r="E162" t="s">
        <v>10</v>
      </c>
    </row>
    <row r="163" spans="1:5" x14ac:dyDescent="0.2">
      <c r="A163" t="s">
        <v>1</v>
      </c>
      <c r="B163">
        <v>11</v>
      </c>
      <c r="C163" s="1">
        <v>421.95945437276043</v>
      </c>
      <c r="D163" s="1">
        <v>13.306715060261933</v>
      </c>
      <c r="E163" t="s">
        <v>10</v>
      </c>
    </row>
    <row r="164" spans="1:5" x14ac:dyDescent="0.2">
      <c r="A164" t="s">
        <v>1</v>
      </c>
      <c r="B164">
        <v>60</v>
      </c>
      <c r="C164" s="1">
        <v>424.06497100368739</v>
      </c>
      <c r="D164" s="1">
        <v>15.645415225207177</v>
      </c>
      <c r="E164" t="s">
        <v>10</v>
      </c>
    </row>
    <row r="165" spans="1:5" x14ac:dyDescent="0.2">
      <c r="A165" t="s">
        <v>1</v>
      </c>
      <c r="B165">
        <v>52</v>
      </c>
      <c r="C165" s="1">
        <v>426.36118830377626</v>
      </c>
      <c r="D165" s="1">
        <v>13.143742093850726</v>
      </c>
      <c r="E165" t="s">
        <v>10</v>
      </c>
    </row>
    <row r="166" spans="1:5" x14ac:dyDescent="0.2">
      <c r="A166" t="s">
        <v>1</v>
      </c>
      <c r="B166">
        <v>25</v>
      </c>
      <c r="C166" s="1">
        <v>428.56911698343214</v>
      </c>
      <c r="D166" s="1">
        <v>13.104478672689769</v>
      </c>
      <c r="E166" t="s">
        <v>10</v>
      </c>
    </row>
    <row r="167" spans="1:5" x14ac:dyDescent="0.2">
      <c r="A167" t="s">
        <v>1</v>
      </c>
      <c r="B167">
        <v>6</v>
      </c>
      <c r="C167" s="1">
        <v>440.01702589462423</v>
      </c>
      <c r="D167" s="1">
        <v>20.122860211217063</v>
      </c>
      <c r="E167" t="s">
        <v>10</v>
      </c>
    </row>
    <row r="168" spans="1:5" x14ac:dyDescent="0.2">
      <c r="A168" t="s">
        <v>1</v>
      </c>
      <c r="B168">
        <v>34</v>
      </c>
      <c r="C168" s="1">
        <v>449.99842365712033</v>
      </c>
      <c r="D168" s="1">
        <v>13.590889513963864</v>
      </c>
      <c r="E168" t="s">
        <v>9</v>
      </c>
    </row>
    <row r="169" spans="1:5" x14ac:dyDescent="0.2">
      <c r="A169" t="s">
        <v>1</v>
      </c>
      <c r="B169">
        <v>39</v>
      </c>
      <c r="C169" s="1">
        <v>450.44288513097518</v>
      </c>
      <c r="D169" s="1">
        <v>13.079251652090527</v>
      </c>
      <c r="E169" t="s">
        <v>9</v>
      </c>
    </row>
    <row r="170" spans="1:5" x14ac:dyDescent="0.2">
      <c r="A170" t="s">
        <v>1</v>
      </c>
      <c r="B170">
        <v>35</v>
      </c>
      <c r="C170" s="1">
        <v>451.12273866815679</v>
      </c>
      <c r="D170" s="1">
        <v>8.6782820517883685</v>
      </c>
      <c r="E170" t="s">
        <v>9</v>
      </c>
    </row>
    <row r="171" spans="1:5" x14ac:dyDescent="0.2">
      <c r="A171" t="s">
        <v>1</v>
      </c>
      <c r="B171">
        <v>54</v>
      </c>
      <c r="C171" s="1">
        <v>453.59311809002935</v>
      </c>
      <c r="D171" s="1">
        <v>17.454518397427574</v>
      </c>
      <c r="E171" t="s">
        <v>9</v>
      </c>
    </row>
    <row r="172" spans="1:5" x14ac:dyDescent="0.2">
      <c r="A172" t="s">
        <v>1</v>
      </c>
      <c r="B172">
        <v>30</v>
      </c>
      <c r="C172" s="1">
        <v>455.11168715780303</v>
      </c>
      <c r="D172" s="1">
        <v>18.853497355592673</v>
      </c>
      <c r="E172" t="s">
        <v>9</v>
      </c>
    </row>
    <row r="173" spans="1:5" x14ac:dyDescent="0.2">
      <c r="A173" t="s">
        <v>1</v>
      </c>
      <c r="B173">
        <v>13</v>
      </c>
      <c r="C173" s="1">
        <v>468.9365492183656</v>
      </c>
      <c r="D173" s="1">
        <v>22.376260619473822</v>
      </c>
      <c r="E173" t="s">
        <v>9</v>
      </c>
    </row>
    <row r="174" spans="1:5" x14ac:dyDescent="0.2">
      <c r="A174" t="s">
        <v>1</v>
      </c>
      <c r="B174">
        <v>31</v>
      </c>
      <c r="C174" s="1">
        <v>473.94396487018133</v>
      </c>
      <c r="D174" s="1">
        <v>12.349061354540817</v>
      </c>
      <c r="E174" t="s">
        <v>9</v>
      </c>
    </row>
    <row r="175" spans="1:5" x14ac:dyDescent="0.2">
      <c r="A175" t="s">
        <v>1</v>
      </c>
      <c r="B175">
        <v>51</v>
      </c>
      <c r="C175" s="1">
        <v>483.34303072331932</v>
      </c>
      <c r="D175" s="1">
        <v>16.707998223273293</v>
      </c>
      <c r="E175" t="s">
        <v>9</v>
      </c>
    </row>
    <row r="176" spans="1:5" x14ac:dyDescent="0.2">
      <c r="A176" t="s">
        <v>1</v>
      </c>
      <c r="B176">
        <v>18</v>
      </c>
      <c r="C176" s="1">
        <v>484.9408229311253</v>
      </c>
      <c r="D176" s="1">
        <v>1.9106418033310675</v>
      </c>
      <c r="E176" t="s">
        <v>9</v>
      </c>
    </row>
    <row r="177" spans="1:5" x14ac:dyDescent="0.2">
      <c r="A177" t="s">
        <v>1</v>
      </c>
      <c r="B177">
        <v>38</v>
      </c>
      <c r="C177" s="1">
        <v>495.336273820462</v>
      </c>
      <c r="D177" s="1">
        <v>14.150081360483357</v>
      </c>
      <c r="E177" t="s">
        <v>9</v>
      </c>
    </row>
    <row r="178" spans="1:5" x14ac:dyDescent="0.2">
      <c r="A178" t="s">
        <v>1</v>
      </c>
      <c r="B178">
        <v>7</v>
      </c>
      <c r="C178" s="1">
        <v>496.72294733268564</v>
      </c>
      <c r="D178" s="1">
        <v>18.23272259614669</v>
      </c>
      <c r="E178" t="s">
        <v>9</v>
      </c>
    </row>
    <row r="179" spans="1:5" x14ac:dyDescent="0.2">
      <c r="A179" t="s">
        <v>1</v>
      </c>
      <c r="B179">
        <v>50</v>
      </c>
      <c r="C179" s="1">
        <v>501.3957950301932</v>
      </c>
      <c r="D179" s="1">
        <v>20.877755551990077</v>
      </c>
      <c r="E179" t="s">
        <v>9</v>
      </c>
    </row>
    <row r="180" spans="1:5" x14ac:dyDescent="0.2">
      <c r="A180" t="s">
        <v>1</v>
      </c>
      <c r="B180">
        <v>19</v>
      </c>
      <c r="C180" s="1">
        <v>502.54875849874048</v>
      </c>
      <c r="D180" s="1">
        <v>23.178079644090801</v>
      </c>
      <c r="E180" t="s">
        <v>9</v>
      </c>
    </row>
    <row r="181" spans="1:5" x14ac:dyDescent="0.2">
      <c r="A181" t="s">
        <v>1</v>
      </c>
      <c r="B181">
        <v>35</v>
      </c>
      <c r="C181" s="1">
        <v>505.30506291283973</v>
      </c>
      <c r="D181" s="1">
        <v>19.365361915266114</v>
      </c>
      <c r="E181" t="s">
        <v>9</v>
      </c>
    </row>
    <row r="182" spans="1:5" x14ac:dyDescent="0.2">
      <c r="A182" t="s">
        <v>1</v>
      </c>
      <c r="B182">
        <v>27</v>
      </c>
      <c r="C182" s="1">
        <v>507.4279591860992</v>
      </c>
      <c r="D182" s="1">
        <v>4.3036350230109228</v>
      </c>
      <c r="E182" t="s">
        <v>9</v>
      </c>
    </row>
    <row r="183" spans="1:5" x14ac:dyDescent="0.2">
      <c r="A183" t="s">
        <v>1</v>
      </c>
      <c r="B183">
        <v>20</v>
      </c>
      <c r="C183" s="1">
        <v>510.63151675593576</v>
      </c>
      <c r="D183" s="1">
        <v>19.153201923256184</v>
      </c>
      <c r="E183" t="s">
        <v>9</v>
      </c>
    </row>
    <row r="184" spans="1:5" x14ac:dyDescent="0.2">
      <c r="A184" t="s">
        <v>1</v>
      </c>
      <c r="B184">
        <v>37</v>
      </c>
      <c r="C184" s="1">
        <v>515.63876029379776</v>
      </c>
      <c r="D184" s="1">
        <v>19.392986309009309</v>
      </c>
      <c r="E184" t="s">
        <v>9</v>
      </c>
    </row>
    <row r="185" spans="1:5" x14ac:dyDescent="0.2">
      <c r="A185" t="s">
        <v>1</v>
      </c>
      <c r="B185">
        <v>46</v>
      </c>
      <c r="C185" s="1">
        <v>523.56863772308861</v>
      </c>
      <c r="D185" s="1">
        <v>9.8010291932559568</v>
      </c>
      <c r="E185" t="s">
        <v>9</v>
      </c>
    </row>
    <row r="186" spans="1:5" x14ac:dyDescent="0.2">
      <c r="A186" t="s">
        <v>1</v>
      </c>
      <c r="B186">
        <v>17</v>
      </c>
      <c r="C186" s="1">
        <v>523.6082897982003</v>
      </c>
      <c r="D186" s="1">
        <v>18.419567682209173</v>
      </c>
      <c r="E186" t="s">
        <v>9</v>
      </c>
    </row>
    <row r="187" spans="1:5" x14ac:dyDescent="0.2">
      <c r="A187" t="s">
        <v>1</v>
      </c>
      <c r="B187">
        <v>24</v>
      </c>
      <c r="C187" s="1">
        <v>534.6751337869855</v>
      </c>
      <c r="D187" s="1">
        <v>22.480850777523749</v>
      </c>
      <c r="E187" t="s">
        <v>9</v>
      </c>
    </row>
    <row r="188" spans="1:5" x14ac:dyDescent="0.2">
      <c r="A188" t="s">
        <v>1</v>
      </c>
      <c r="B188">
        <v>14</v>
      </c>
      <c r="C188" s="1">
        <v>536.84551920047056</v>
      </c>
      <c r="D188" s="1">
        <v>21.431233817117644</v>
      </c>
      <c r="E188" t="s">
        <v>9</v>
      </c>
    </row>
    <row r="189" spans="1:5" x14ac:dyDescent="0.2">
      <c r="A189" t="s">
        <v>1</v>
      </c>
      <c r="B189">
        <v>30</v>
      </c>
      <c r="C189" s="1">
        <v>538.41981394427694</v>
      </c>
      <c r="D189" s="1">
        <v>25.106176135879707</v>
      </c>
      <c r="E189" t="s">
        <v>9</v>
      </c>
    </row>
    <row r="190" spans="1:5" x14ac:dyDescent="0.2">
      <c r="A190" t="s">
        <v>1</v>
      </c>
      <c r="B190">
        <v>16</v>
      </c>
      <c r="C190" s="1">
        <v>540.8502967751881</v>
      </c>
      <c r="D190" s="1">
        <v>22.209100130245822</v>
      </c>
      <c r="E190" t="s">
        <v>9</v>
      </c>
    </row>
    <row r="191" spans="1:5" x14ac:dyDescent="0.2">
      <c r="A191" t="s">
        <v>1</v>
      </c>
      <c r="B191">
        <v>40</v>
      </c>
      <c r="C191" s="1">
        <v>545.70612870676416</v>
      </c>
      <c r="D191" s="1">
        <v>20.207556038866315</v>
      </c>
      <c r="E191" t="s">
        <v>9</v>
      </c>
    </row>
    <row r="192" spans="1:5" x14ac:dyDescent="0.2">
      <c r="A192" t="s">
        <v>1</v>
      </c>
      <c r="B192">
        <v>29</v>
      </c>
      <c r="C192" s="1">
        <v>545.71637200779514</v>
      </c>
      <c r="D192" s="1">
        <v>24.682577239281912</v>
      </c>
      <c r="E192" t="s">
        <v>9</v>
      </c>
    </row>
    <row r="193" spans="1:5" x14ac:dyDescent="0.2">
      <c r="A193" t="s">
        <v>1</v>
      </c>
      <c r="B193">
        <v>36</v>
      </c>
      <c r="C193" s="1">
        <v>564.79669779885194</v>
      </c>
      <c r="D193" s="1">
        <v>10.266922216704156</v>
      </c>
      <c r="E193" t="s">
        <v>9</v>
      </c>
    </row>
    <row r="194" spans="1:5" x14ac:dyDescent="0.2">
      <c r="A194" t="s">
        <v>1</v>
      </c>
      <c r="B194">
        <v>15</v>
      </c>
      <c r="C194" s="1">
        <v>572.96387590487393</v>
      </c>
      <c r="D194" s="1">
        <v>17.213788659597803</v>
      </c>
      <c r="E194" t="s">
        <v>9</v>
      </c>
    </row>
    <row r="195" spans="1:5" x14ac:dyDescent="0.2">
      <c r="A195" t="s">
        <v>1</v>
      </c>
      <c r="B195">
        <v>22</v>
      </c>
      <c r="C195" s="1">
        <v>579.1969941207476</v>
      </c>
      <c r="D195" s="1">
        <v>19.287224221993647</v>
      </c>
      <c r="E195" t="s">
        <v>9</v>
      </c>
    </row>
    <row r="196" spans="1:5" x14ac:dyDescent="0.2">
      <c r="A196" t="s">
        <v>1</v>
      </c>
      <c r="B196">
        <v>12</v>
      </c>
      <c r="C196" s="1">
        <v>584.7236694004082</v>
      </c>
      <c r="D196" s="1">
        <v>8.7054670220550996</v>
      </c>
      <c r="E196" t="s">
        <v>9</v>
      </c>
    </row>
    <row r="197" spans="1:5" x14ac:dyDescent="0.2">
      <c r="A197" t="s">
        <v>1</v>
      </c>
      <c r="B197">
        <v>51</v>
      </c>
      <c r="C197" s="1">
        <v>586.60967126931018</v>
      </c>
      <c r="D197" s="1">
        <v>14.677020620769859</v>
      </c>
      <c r="E197" t="s">
        <v>9</v>
      </c>
    </row>
    <row r="198" spans="1:5" x14ac:dyDescent="0.2">
      <c r="A198" t="s">
        <v>1</v>
      </c>
      <c r="B198">
        <v>31</v>
      </c>
      <c r="C198" s="1">
        <v>589.65005976824148</v>
      </c>
      <c r="D198" s="1">
        <v>14.976340327050231</v>
      </c>
      <c r="E198" t="s">
        <v>9</v>
      </c>
    </row>
    <row r="199" spans="1:5" x14ac:dyDescent="0.2">
      <c r="A199" t="s">
        <v>1</v>
      </c>
      <c r="B199">
        <v>23</v>
      </c>
      <c r="C199" s="1">
        <v>590.64390709381382</v>
      </c>
      <c r="D199" s="1">
        <v>25.344909671009678</v>
      </c>
      <c r="E199" t="s">
        <v>9</v>
      </c>
    </row>
    <row r="200" spans="1:5" x14ac:dyDescent="0.2">
      <c r="A200" t="s">
        <v>1</v>
      </c>
      <c r="B200">
        <v>5</v>
      </c>
      <c r="C200" s="1">
        <v>596.1211299803831</v>
      </c>
      <c r="D200" s="1">
        <v>17.140457308297265</v>
      </c>
      <c r="E200" t="s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CF63-8767-E14F-B725-AB06D1A910E2}">
  <dimension ref="A1:C14"/>
  <sheetViews>
    <sheetView workbookViewId="0">
      <selection activeCell="G13" sqref="G13"/>
    </sheetView>
  </sheetViews>
  <sheetFormatPr baseColWidth="10" defaultRowHeight="15" x14ac:dyDescent="0.2"/>
  <sheetData>
    <row r="1" spans="1:3" x14ac:dyDescent="0.2">
      <c r="A1" t="s">
        <v>54</v>
      </c>
    </row>
    <row r="2" spans="1:3" ht="16" thickBot="1" x14ac:dyDescent="0.25"/>
    <row r="3" spans="1:3" x14ac:dyDescent="0.2">
      <c r="A3" s="9"/>
      <c r="B3" s="9" t="s">
        <v>55</v>
      </c>
      <c r="C3" s="9" t="s">
        <v>56</v>
      </c>
    </row>
    <row r="4" spans="1:3" x14ac:dyDescent="0.2">
      <c r="A4" s="7" t="s">
        <v>57</v>
      </c>
      <c r="B4" s="7">
        <v>582.07000000000005</v>
      </c>
      <c r="C4" s="7">
        <v>359.66751221124747</v>
      </c>
    </row>
    <row r="5" spans="1:3" x14ac:dyDescent="0.2">
      <c r="A5" s="7" t="s">
        <v>58</v>
      </c>
      <c r="B5" s="7">
        <v>10829.944545454524</v>
      </c>
      <c r="C5" s="7">
        <v>20029.380884757207</v>
      </c>
    </row>
    <row r="6" spans="1:3" x14ac:dyDescent="0.2">
      <c r="A6" s="7" t="s">
        <v>59</v>
      </c>
      <c r="B6" s="7">
        <v>100</v>
      </c>
      <c r="C6" s="7">
        <v>99</v>
      </c>
    </row>
    <row r="7" spans="1:3" x14ac:dyDescent="0.2">
      <c r="A7" s="7" t="s">
        <v>60</v>
      </c>
      <c r="B7" s="7">
        <v>15406.313891909667</v>
      </c>
      <c r="C7" s="7"/>
    </row>
    <row r="8" spans="1:3" x14ac:dyDescent="0.2">
      <c r="A8" s="7" t="s">
        <v>61</v>
      </c>
      <c r="B8" s="7">
        <v>0</v>
      </c>
      <c r="C8" s="7"/>
    </row>
    <row r="9" spans="1:3" x14ac:dyDescent="0.2">
      <c r="A9" s="7" t="s">
        <v>62</v>
      </c>
      <c r="B9" s="7">
        <v>197</v>
      </c>
      <c r="C9" s="7"/>
    </row>
    <row r="10" spans="1:3" x14ac:dyDescent="0.2">
      <c r="A10" s="7" t="s">
        <v>63</v>
      </c>
      <c r="B10" s="7">
        <v>12.638086660110114</v>
      </c>
      <c r="C10" s="7"/>
    </row>
    <row r="11" spans="1:3" x14ac:dyDescent="0.2">
      <c r="A11" s="7" t="s">
        <v>64</v>
      </c>
      <c r="B11" s="7">
        <v>1.6806518137955264E-27</v>
      </c>
      <c r="C11" s="7"/>
    </row>
    <row r="12" spans="1:3" x14ac:dyDescent="0.2">
      <c r="A12" s="7" t="s">
        <v>65</v>
      </c>
      <c r="B12" s="7">
        <v>1.6526252192655086</v>
      </c>
      <c r="C12" s="7"/>
    </row>
    <row r="13" spans="1:3" x14ac:dyDescent="0.2">
      <c r="A13" s="7" t="s">
        <v>66</v>
      </c>
      <c r="B13" s="7">
        <v>3.3613036275910528E-27</v>
      </c>
      <c r="C13" s="7"/>
    </row>
    <row r="14" spans="1:3" ht="16" thickBot="1" x14ac:dyDescent="0.25">
      <c r="A14" s="8" t="s">
        <v>67</v>
      </c>
      <c r="B14" s="8">
        <v>1.9720790337785019</v>
      </c>
      <c r="C1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workbookViewId="0">
      <selection activeCell="L22" sqref="L22"/>
    </sheetView>
  </sheetViews>
  <sheetFormatPr baseColWidth="10" defaultColWidth="8.83203125" defaultRowHeight="15" x14ac:dyDescent="0.2"/>
  <cols>
    <col min="1" max="1" width="9.6640625" bestFit="1" customWidth="1"/>
    <col min="2" max="2" width="16.6640625" customWidth="1"/>
    <col min="4" max="4" width="13.83203125" customWidth="1"/>
    <col min="7" max="7" width="9" customWidth="1"/>
  </cols>
  <sheetData>
    <row r="1" spans="1:11" ht="26" x14ac:dyDescent="0.3">
      <c r="A1" t="s">
        <v>0</v>
      </c>
      <c r="B1" t="s">
        <v>4</v>
      </c>
      <c r="C1" t="s">
        <v>5</v>
      </c>
      <c r="D1" t="s">
        <v>3</v>
      </c>
      <c r="E1" t="s">
        <v>7</v>
      </c>
      <c r="H1" t="s">
        <v>12</v>
      </c>
      <c r="I1" t="s">
        <v>13</v>
      </c>
      <c r="J1" t="s">
        <v>9</v>
      </c>
      <c r="K1" s="2" t="s">
        <v>11</v>
      </c>
    </row>
    <row r="2" spans="1:11" x14ac:dyDescent="0.2">
      <c r="A2" t="s">
        <v>2</v>
      </c>
      <c r="B2">
        <v>73</v>
      </c>
      <c r="C2">
        <v>401</v>
      </c>
      <c r="D2" s="1">
        <v>36.662712884524737</v>
      </c>
      <c r="E2" t="s">
        <v>8</v>
      </c>
      <c r="H2" s="1">
        <v>36.662712884524737</v>
      </c>
      <c r="I2" s="1">
        <v>36.959328463277728</v>
      </c>
      <c r="J2" s="1">
        <v>23.513093135565942</v>
      </c>
    </row>
    <row r="3" spans="1:11" x14ac:dyDescent="0.2">
      <c r="A3" t="s">
        <v>2</v>
      </c>
      <c r="B3">
        <v>83</v>
      </c>
      <c r="C3">
        <v>406</v>
      </c>
      <c r="D3" s="1">
        <v>24.065028908561459</v>
      </c>
      <c r="E3" t="s">
        <v>8</v>
      </c>
      <c r="H3" s="1">
        <v>24.065028908561459</v>
      </c>
      <c r="I3" s="1">
        <v>24.877753115313691</v>
      </c>
      <c r="J3" s="1">
        <v>25.127615940008965</v>
      </c>
    </row>
    <row r="4" spans="1:11" x14ac:dyDescent="0.2">
      <c r="A4" t="s">
        <v>2</v>
      </c>
      <c r="B4">
        <v>86</v>
      </c>
      <c r="C4">
        <v>412</v>
      </c>
      <c r="D4" s="1">
        <v>19.861149267138007</v>
      </c>
      <c r="E4" t="s">
        <v>8</v>
      </c>
      <c r="H4" s="1">
        <v>19.861149267138007</v>
      </c>
      <c r="I4" s="1">
        <v>25.380279173387116</v>
      </c>
      <c r="J4" s="1">
        <v>31.046643993346525</v>
      </c>
    </row>
    <row r="5" spans="1:11" x14ac:dyDescent="0.2">
      <c r="A5" t="s">
        <v>2</v>
      </c>
      <c r="B5">
        <v>81</v>
      </c>
      <c r="C5">
        <v>416</v>
      </c>
      <c r="D5" s="1">
        <v>33.554476136219442</v>
      </c>
      <c r="E5" t="s">
        <v>8</v>
      </c>
      <c r="H5" s="1">
        <v>33.554476136219442</v>
      </c>
      <c r="I5" s="1">
        <v>31.980497659842484</v>
      </c>
      <c r="J5" s="1">
        <v>24.334917873864676</v>
      </c>
    </row>
    <row r="6" spans="1:11" x14ac:dyDescent="0.2">
      <c r="A6" t="s">
        <v>2</v>
      </c>
      <c r="B6">
        <v>58</v>
      </c>
      <c r="C6">
        <v>420</v>
      </c>
      <c r="D6" s="1">
        <v>30.777913097504193</v>
      </c>
      <c r="E6" t="s">
        <v>8</v>
      </c>
      <c r="H6" s="1">
        <v>30.777913097504193</v>
      </c>
      <c r="I6" s="1">
        <v>15.640481221396875</v>
      </c>
      <c r="J6" s="1">
        <v>30.23582722005273</v>
      </c>
    </row>
    <row r="7" spans="1:11" x14ac:dyDescent="0.2">
      <c r="A7" t="s">
        <v>2</v>
      </c>
      <c r="B7">
        <v>46</v>
      </c>
      <c r="C7">
        <v>427</v>
      </c>
      <c r="D7" s="1">
        <v>24.750003539757664</v>
      </c>
      <c r="E7" t="s">
        <v>8</v>
      </c>
      <c r="H7" s="1">
        <v>24.750003539757664</v>
      </c>
      <c r="I7" s="1">
        <v>27.311905528022308</v>
      </c>
      <c r="J7" s="1">
        <v>28.706165432427117</v>
      </c>
    </row>
    <row r="8" spans="1:11" x14ac:dyDescent="0.2">
      <c r="A8" t="s">
        <v>2</v>
      </c>
      <c r="B8">
        <v>72</v>
      </c>
      <c r="C8">
        <v>429</v>
      </c>
      <c r="D8" s="1">
        <v>26.653665312095626</v>
      </c>
      <c r="E8" t="s">
        <v>8</v>
      </c>
      <c r="H8" s="1">
        <v>26.653665312095626</v>
      </c>
      <c r="I8" s="1">
        <v>27.143862142259426</v>
      </c>
      <c r="J8" s="1">
        <v>23.344681621851379</v>
      </c>
    </row>
    <row r="9" spans="1:11" x14ac:dyDescent="0.2">
      <c r="A9" t="s">
        <v>2</v>
      </c>
      <c r="B9">
        <v>61</v>
      </c>
      <c r="C9">
        <v>432</v>
      </c>
      <c r="D9" s="1">
        <v>23.905124273554964</v>
      </c>
      <c r="E9" t="s">
        <v>8</v>
      </c>
      <c r="H9" s="1">
        <v>23.905124273554964</v>
      </c>
      <c r="I9" s="1">
        <v>20.117268731049339</v>
      </c>
      <c r="J9" s="1">
        <v>21.336349294584586</v>
      </c>
    </row>
    <row r="10" spans="1:11" x14ac:dyDescent="0.2">
      <c r="A10" t="s">
        <v>2</v>
      </c>
      <c r="B10">
        <v>79</v>
      </c>
      <c r="C10">
        <v>433</v>
      </c>
      <c r="D10" s="1">
        <v>20.492204273045331</v>
      </c>
      <c r="E10" t="s">
        <v>8</v>
      </c>
      <c r="H10" s="1">
        <v>20.492204273045331</v>
      </c>
      <c r="I10" s="1">
        <v>19.215924123326673</v>
      </c>
      <c r="J10" s="1">
        <v>41.818726381738514</v>
      </c>
    </row>
    <row r="11" spans="1:11" x14ac:dyDescent="0.2">
      <c r="A11" t="s">
        <v>2</v>
      </c>
      <c r="B11">
        <v>80</v>
      </c>
      <c r="C11">
        <v>438</v>
      </c>
      <c r="D11" s="1">
        <v>17.300326361356991</v>
      </c>
      <c r="E11" t="s">
        <v>8</v>
      </c>
      <c r="H11" s="1">
        <v>17.300326361356991</v>
      </c>
      <c r="I11" s="1">
        <v>25.086186948688503</v>
      </c>
      <c r="J11" s="1">
        <v>31.930403692557949</v>
      </c>
    </row>
    <row r="12" spans="1:11" x14ac:dyDescent="0.2">
      <c r="A12" t="s">
        <v>2</v>
      </c>
      <c r="B12">
        <v>60</v>
      </c>
      <c r="C12">
        <v>439</v>
      </c>
      <c r="D12" s="1">
        <v>26.082839483073201</v>
      </c>
      <c r="E12" t="s">
        <v>8</v>
      </c>
      <c r="H12" s="1">
        <v>26.082839483073201</v>
      </c>
      <c r="I12" s="1">
        <v>27.476071146014309</v>
      </c>
      <c r="J12" s="1">
        <v>22.914615474102806</v>
      </c>
    </row>
    <row r="13" spans="1:11" x14ac:dyDescent="0.2">
      <c r="A13" t="s">
        <v>2</v>
      </c>
      <c r="B13">
        <v>58</v>
      </c>
      <c r="C13">
        <v>446</v>
      </c>
      <c r="D13" s="1">
        <v>13.763087661027233</v>
      </c>
      <c r="E13" t="s">
        <v>8</v>
      </c>
      <c r="H13" s="1">
        <v>13.763087661027233</v>
      </c>
      <c r="I13" s="1">
        <v>23.44994670399587</v>
      </c>
      <c r="J13" s="1">
        <v>29.042322528430386</v>
      </c>
    </row>
    <row r="14" spans="1:11" x14ac:dyDescent="0.2">
      <c r="A14" t="s">
        <v>2</v>
      </c>
      <c r="B14">
        <v>80</v>
      </c>
      <c r="C14">
        <v>454</v>
      </c>
      <c r="D14" s="1">
        <v>30.764558973473459</v>
      </c>
      <c r="E14" t="s">
        <v>8</v>
      </c>
      <c r="H14" s="1">
        <v>30.764558973473459</v>
      </c>
      <c r="I14" s="1">
        <v>29.213923419377053</v>
      </c>
      <c r="J14" s="1">
        <v>27.420280489420218</v>
      </c>
    </row>
    <row r="15" spans="1:11" x14ac:dyDescent="0.2">
      <c r="A15" t="s">
        <v>2</v>
      </c>
      <c r="B15">
        <v>82</v>
      </c>
      <c r="C15">
        <v>457</v>
      </c>
      <c r="D15" s="1">
        <v>26.342441907398111</v>
      </c>
      <c r="E15" t="s">
        <v>8</v>
      </c>
      <c r="H15" s="1">
        <v>26.342441907398111</v>
      </c>
      <c r="I15" s="1">
        <v>24.936023398541003</v>
      </c>
      <c r="J15" s="1">
        <v>29.203278185481366</v>
      </c>
    </row>
    <row r="16" spans="1:11" x14ac:dyDescent="0.2">
      <c r="A16" t="s">
        <v>2</v>
      </c>
      <c r="B16">
        <v>61</v>
      </c>
      <c r="C16">
        <v>459</v>
      </c>
      <c r="D16" s="1">
        <v>25.448083025409009</v>
      </c>
      <c r="E16" t="s">
        <v>8</v>
      </c>
      <c r="H16" s="1">
        <v>25.448083025409009</v>
      </c>
      <c r="I16" s="1">
        <v>20.839075754057696</v>
      </c>
      <c r="J16" s="1">
        <v>29.778266637843117</v>
      </c>
    </row>
    <row r="17" spans="1:10" x14ac:dyDescent="0.2">
      <c r="A17" t="s">
        <v>2</v>
      </c>
      <c r="B17">
        <v>43</v>
      </c>
      <c r="C17">
        <v>463</v>
      </c>
      <c r="D17" s="1">
        <v>23.524386494906807</v>
      </c>
      <c r="E17" t="s">
        <v>8</v>
      </c>
      <c r="H17" s="1">
        <v>23.524386494906807</v>
      </c>
      <c r="I17" s="1">
        <v>22.046140478467862</v>
      </c>
      <c r="J17" s="1">
        <v>34.133393224680546</v>
      </c>
    </row>
    <row r="18" spans="1:10" x14ac:dyDescent="0.2">
      <c r="A18" t="s">
        <v>2</v>
      </c>
      <c r="B18">
        <v>69</v>
      </c>
      <c r="C18">
        <v>464</v>
      </c>
      <c r="D18" s="1">
        <v>30.658299950475275</v>
      </c>
      <c r="E18" t="s">
        <v>8</v>
      </c>
      <c r="H18" s="1">
        <v>30.658299950475275</v>
      </c>
      <c r="I18" s="1">
        <v>31.654659407418819</v>
      </c>
      <c r="J18" s="1">
        <v>24.512964346852286</v>
      </c>
    </row>
    <row r="19" spans="1:10" x14ac:dyDescent="0.2">
      <c r="A19" t="s">
        <v>2</v>
      </c>
      <c r="B19">
        <v>63</v>
      </c>
      <c r="C19">
        <v>464</v>
      </c>
      <c r="D19" s="1">
        <v>21.12216376436271</v>
      </c>
      <c r="E19" t="s">
        <v>8</v>
      </c>
      <c r="H19" s="1">
        <v>21.12216376436271</v>
      </c>
      <c r="I19" s="1">
        <v>25.02874069039153</v>
      </c>
      <c r="J19" s="1">
        <v>25.327104416192544</v>
      </c>
    </row>
    <row r="20" spans="1:10" x14ac:dyDescent="0.2">
      <c r="A20" t="s">
        <v>2</v>
      </c>
      <c r="B20">
        <v>82</v>
      </c>
      <c r="C20">
        <v>465</v>
      </c>
      <c r="D20" s="1">
        <v>28.947249962681006</v>
      </c>
      <c r="E20" t="s">
        <v>8</v>
      </c>
      <c r="H20" s="1">
        <v>28.947249962681006</v>
      </c>
      <c r="I20" s="1">
        <v>29.40257801049416</v>
      </c>
      <c r="J20" s="1">
        <v>15.877809011400686</v>
      </c>
    </row>
    <row r="21" spans="1:10" x14ac:dyDescent="0.2">
      <c r="A21" t="s">
        <v>2</v>
      </c>
      <c r="B21">
        <v>66</v>
      </c>
      <c r="C21">
        <v>469</v>
      </c>
      <c r="D21" s="1">
        <v>23.59875314350343</v>
      </c>
      <c r="E21" t="s">
        <v>8</v>
      </c>
      <c r="H21" s="1">
        <v>23.59875314350343</v>
      </c>
      <c r="I21" s="1">
        <v>22.311232607829776</v>
      </c>
      <c r="J21" s="1">
        <v>23.820754593423551</v>
      </c>
    </row>
    <row r="22" spans="1:10" x14ac:dyDescent="0.2">
      <c r="A22" t="s">
        <v>2</v>
      </c>
      <c r="B22">
        <v>81</v>
      </c>
      <c r="C22">
        <v>478</v>
      </c>
      <c r="D22" s="1">
        <v>21.22927700023013</v>
      </c>
      <c r="E22" t="s">
        <v>8</v>
      </c>
      <c r="H22" s="1">
        <v>21.22927700023013</v>
      </c>
      <c r="I22" s="1">
        <v>16.06734143935056</v>
      </c>
      <c r="J22" s="1">
        <v>20.933797963221181</v>
      </c>
    </row>
    <row r="23" spans="1:10" x14ac:dyDescent="0.2">
      <c r="A23" t="s">
        <v>2</v>
      </c>
      <c r="B23">
        <v>56</v>
      </c>
      <c r="C23">
        <v>479</v>
      </c>
      <c r="D23" s="1">
        <v>20.366314420960872</v>
      </c>
      <c r="E23" t="s">
        <v>8</v>
      </c>
      <c r="H23" s="1">
        <v>20.366314420960872</v>
      </c>
      <c r="I23" s="1">
        <v>23.573507683401562</v>
      </c>
      <c r="J23" s="1">
        <v>31.662324357095422</v>
      </c>
    </row>
    <row r="24" spans="1:10" x14ac:dyDescent="0.2">
      <c r="A24" t="s">
        <v>2</v>
      </c>
      <c r="B24">
        <v>71</v>
      </c>
      <c r="C24">
        <v>480</v>
      </c>
      <c r="D24" s="1">
        <v>20.873518260842779</v>
      </c>
      <c r="E24" t="s">
        <v>8</v>
      </c>
      <c r="H24" s="1">
        <v>20.873518260842779</v>
      </c>
      <c r="I24" s="1">
        <v>27.938859129243951</v>
      </c>
      <c r="J24" s="1">
        <v>21.018262677658797</v>
      </c>
    </row>
    <row r="25" spans="1:10" x14ac:dyDescent="0.2">
      <c r="A25" t="s">
        <v>2</v>
      </c>
      <c r="B25">
        <v>68</v>
      </c>
      <c r="C25">
        <v>481</v>
      </c>
      <c r="D25" s="1">
        <v>35.750475285134463</v>
      </c>
      <c r="E25" t="s">
        <v>8</v>
      </c>
      <c r="H25" s="1">
        <v>35.750475285134463</v>
      </c>
      <c r="I25" s="1">
        <v>30.326294569010479</v>
      </c>
      <c r="J25" s="1">
        <v>28.157825362537842</v>
      </c>
    </row>
    <row r="26" spans="1:10" x14ac:dyDescent="0.2">
      <c r="A26" t="s">
        <v>2</v>
      </c>
      <c r="B26">
        <v>42</v>
      </c>
      <c r="C26">
        <v>489</v>
      </c>
      <c r="D26" s="1">
        <v>26.642170927295503</v>
      </c>
      <c r="E26" t="s">
        <v>8</v>
      </c>
      <c r="H26" s="1">
        <v>26.642170927295503</v>
      </c>
      <c r="I26" s="1">
        <v>24.12173447160249</v>
      </c>
      <c r="J26" s="1">
        <v>26.503042888651859</v>
      </c>
    </row>
    <row r="27" spans="1:10" x14ac:dyDescent="0.2">
      <c r="A27" t="s">
        <v>2</v>
      </c>
      <c r="B27">
        <v>71</v>
      </c>
      <c r="C27">
        <v>492</v>
      </c>
      <c r="D27" s="1">
        <v>33.218930750460785</v>
      </c>
      <c r="E27" t="s">
        <v>8</v>
      </c>
      <c r="H27" s="1">
        <v>33.218930750460785</v>
      </c>
      <c r="I27" s="1">
        <v>12.275641802021545</v>
      </c>
      <c r="J27" s="1">
        <v>23.001894735197649</v>
      </c>
    </row>
    <row r="28" spans="1:10" x14ac:dyDescent="0.2">
      <c r="A28" t="s">
        <v>2</v>
      </c>
      <c r="B28">
        <v>84</v>
      </c>
      <c r="C28">
        <v>497</v>
      </c>
      <c r="D28" s="1">
        <v>24.277761337344266</v>
      </c>
      <c r="E28" t="s">
        <v>8</v>
      </c>
      <c r="H28" s="1">
        <v>24.277761337344266</v>
      </c>
      <c r="I28" s="1">
        <v>21.288480581303617</v>
      </c>
      <c r="J28" s="1">
        <v>26.01194696096913</v>
      </c>
    </row>
    <row r="29" spans="1:10" x14ac:dyDescent="0.2">
      <c r="A29" t="s">
        <v>2</v>
      </c>
      <c r="B29">
        <v>86</v>
      </c>
      <c r="C29">
        <v>499</v>
      </c>
      <c r="D29" s="1">
        <v>36.959328463277728</v>
      </c>
      <c r="E29" t="s">
        <v>10</v>
      </c>
      <c r="I29" s="1">
        <v>27.755994175975083</v>
      </c>
      <c r="J29" s="1">
        <v>40.408333650867995</v>
      </c>
    </row>
    <row r="30" spans="1:10" x14ac:dyDescent="0.2">
      <c r="A30" t="s">
        <v>2</v>
      </c>
      <c r="B30">
        <v>64</v>
      </c>
      <c r="C30">
        <v>507</v>
      </c>
      <c r="D30" s="1">
        <v>24.877753115313691</v>
      </c>
      <c r="E30" t="s">
        <v>10</v>
      </c>
      <c r="I30" s="1">
        <v>26.027913686639707</v>
      </c>
      <c r="J30" s="1">
        <v>37.203901819488728</v>
      </c>
    </row>
    <row r="31" spans="1:10" x14ac:dyDescent="0.2">
      <c r="A31" t="s">
        <v>2</v>
      </c>
      <c r="B31">
        <v>64</v>
      </c>
      <c r="C31">
        <v>511</v>
      </c>
      <c r="D31" s="1">
        <v>25.380279173387116</v>
      </c>
      <c r="E31" t="s">
        <v>10</v>
      </c>
      <c r="I31" s="1">
        <v>27.202934870574428</v>
      </c>
      <c r="J31" s="1">
        <v>21.998785284485923</v>
      </c>
    </row>
    <row r="32" spans="1:10" x14ac:dyDescent="0.2">
      <c r="A32" t="s">
        <v>2</v>
      </c>
      <c r="B32">
        <v>68</v>
      </c>
      <c r="C32">
        <v>513</v>
      </c>
      <c r="D32" s="1">
        <v>31.980497659842484</v>
      </c>
      <c r="E32" t="s">
        <v>10</v>
      </c>
      <c r="I32" s="1">
        <v>16.766547971650365</v>
      </c>
      <c r="J32" s="1">
        <v>37.154040582917133</v>
      </c>
    </row>
    <row r="33" spans="1:10" x14ac:dyDescent="0.2">
      <c r="A33" t="s">
        <v>2</v>
      </c>
      <c r="B33">
        <v>60</v>
      </c>
      <c r="C33">
        <v>514</v>
      </c>
      <c r="D33" s="1">
        <v>15.640481221396875</v>
      </c>
      <c r="E33" t="s">
        <v>10</v>
      </c>
      <c r="I33" s="1">
        <v>24.034615986073817</v>
      </c>
      <c r="J33" s="1">
        <v>20.159225374607761</v>
      </c>
    </row>
    <row r="34" spans="1:10" x14ac:dyDescent="0.2">
      <c r="A34" t="s">
        <v>2</v>
      </c>
      <c r="B34">
        <v>42</v>
      </c>
      <c r="C34">
        <v>525</v>
      </c>
      <c r="D34" s="1">
        <v>27.311905528022308</v>
      </c>
      <c r="E34" t="s">
        <v>10</v>
      </c>
      <c r="I34" s="1">
        <v>20.177952899291753</v>
      </c>
      <c r="J34" s="1">
        <v>27.643234722359775</v>
      </c>
    </row>
    <row r="35" spans="1:10" x14ac:dyDescent="0.2">
      <c r="A35" t="s">
        <v>2</v>
      </c>
      <c r="B35">
        <v>77</v>
      </c>
      <c r="C35">
        <v>526</v>
      </c>
      <c r="D35" s="1">
        <v>27.143862142259426</v>
      </c>
      <c r="E35" t="s">
        <v>10</v>
      </c>
      <c r="I35" s="1">
        <v>26.91145512059396</v>
      </c>
      <c r="J35" s="1">
        <v>28.268851640825478</v>
      </c>
    </row>
    <row r="36" spans="1:10" x14ac:dyDescent="0.2">
      <c r="A36" t="s">
        <v>2</v>
      </c>
      <c r="B36">
        <v>79</v>
      </c>
      <c r="C36">
        <v>526</v>
      </c>
      <c r="D36" s="1">
        <v>20.117268731049339</v>
      </c>
      <c r="E36" t="s">
        <v>10</v>
      </c>
      <c r="I36" s="1">
        <v>21.624930611564057</v>
      </c>
    </row>
    <row r="37" spans="1:10" x14ac:dyDescent="0.2">
      <c r="A37" t="s">
        <v>2</v>
      </c>
      <c r="B37">
        <v>72</v>
      </c>
      <c r="C37">
        <v>527</v>
      </c>
      <c r="D37" s="1">
        <v>19.215924123326673</v>
      </c>
      <c r="E37" t="s">
        <v>10</v>
      </c>
      <c r="I37" s="1">
        <v>23.869670040118539</v>
      </c>
    </row>
    <row r="38" spans="1:10" x14ac:dyDescent="0.2">
      <c r="A38" t="s">
        <v>2</v>
      </c>
      <c r="B38">
        <v>54</v>
      </c>
      <c r="C38">
        <v>530</v>
      </c>
      <c r="D38" s="1">
        <v>25.086186948688503</v>
      </c>
      <c r="E38" t="s">
        <v>10</v>
      </c>
      <c r="I38" s="1">
        <v>23.539493439206549</v>
      </c>
    </row>
    <row r="39" spans="1:10" x14ac:dyDescent="0.2">
      <c r="A39" t="s">
        <v>2</v>
      </c>
      <c r="B39">
        <v>84</v>
      </c>
      <c r="C39">
        <v>532</v>
      </c>
      <c r="D39" s="1">
        <v>27.476071146014309</v>
      </c>
      <c r="E39" t="s">
        <v>10</v>
      </c>
      <c r="I39" s="1">
        <v>16.028940864573009</v>
      </c>
    </row>
    <row r="40" spans="1:10" x14ac:dyDescent="0.2">
      <c r="A40" t="s">
        <v>2</v>
      </c>
      <c r="B40">
        <v>49</v>
      </c>
      <c r="C40">
        <v>533</v>
      </c>
      <c r="D40" s="1">
        <v>23.44994670399587</v>
      </c>
      <c r="E40" t="s">
        <v>10</v>
      </c>
      <c r="I40" s="1">
        <v>28.413108418007013</v>
      </c>
    </row>
    <row r="41" spans="1:10" x14ac:dyDescent="0.2">
      <c r="A41" t="s">
        <v>2</v>
      </c>
      <c r="B41">
        <v>83</v>
      </c>
      <c r="C41">
        <v>539</v>
      </c>
      <c r="D41" s="1">
        <v>29.213923419377053</v>
      </c>
      <c r="E41" t="s">
        <v>10</v>
      </c>
    </row>
    <row r="42" spans="1:10" x14ac:dyDescent="0.2">
      <c r="A42" t="s">
        <v>2</v>
      </c>
      <c r="B42">
        <v>64</v>
      </c>
      <c r="C42">
        <v>540</v>
      </c>
      <c r="D42" s="1">
        <v>24.936023398541003</v>
      </c>
      <c r="E42" t="s">
        <v>10</v>
      </c>
    </row>
    <row r="43" spans="1:10" x14ac:dyDescent="0.2">
      <c r="A43" t="s">
        <v>2</v>
      </c>
      <c r="B43">
        <v>65</v>
      </c>
      <c r="C43">
        <v>542</v>
      </c>
      <c r="D43" s="1">
        <v>20.839075754057696</v>
      </c>
      <c r="E43" t="s">
        <v>10</v>
      </c>
    </row>
    <row r="44" spans="1:10" x14ac:dyDescent="0.2">
      <c r="A44" t="s">
        <v>2</v>
      </c>
      <c r="B44">
        <v>49</v>
      </c>
      <c r="C44">
        <v>549</v>
      </c>
      <c r="D44" s="1">
        <v>22.046140478467862</v>
      </c>
      <c r="E44" t="s">
        <v>10</v>
      </c>
    </row>
    <row r="45" spans="1:10" x14ac:dyDescent="0.2">
      <c r="A45" t="s">
        <v>2</v>
      </c>
      <c r="B45">
        <v>63</v>
      </c>
      <c r="C45">
        <v>559</v>
      </c>
      <c r="D45" s="1">
        <v>31.654659407418819</v>
      </c>
      <c r="E45" t="s">
        <v>10</v>
      </c>
    </row>
    <row r="46" spans="1:10" x14ac:dyDescent="0.2">
      <c r="A46" t="s">
        <v>2</v>
      </c>
      <c r="B46">
        <v>55</v>
      </c>
      <c r="C46">
        <v>564</v>
      </c>
      <c r="D46" s="1">
        <v>25.02874069039153</v>
      </c>
      <c r="E46" t="s">
        <v>10</v>
      </c>
    </row>
    <row r="47" spans="1:10" x14ac:dyDescent="0.2">
      <c r="A47" t="s">
        <v>2</v>
      </c>
      <c r="B47">
        <v>51</v>
      </c>
      <c r="C47">
        <v>566</v>
      </c>
      <c r="D47" s="1">
        <v>29.40257801049416</v>
      </c>
      <c r="E47" t="s">
        <v>10</v>
      </c>
    </row>
    <row r="48" spans="1:10" x14ac:dyDescent="0.2">
      <c r="A48" t="s">
        <v>2</v>
      </c>
      <c r="B48">
        <v>60</v>
      </c>
      <c r="C48">
        <v>567</v>
      </c>
      <c r="D48" s="1">
        <v>22.311232607829776</v>
      </c>
      <c r="E48" t="s">
        <v>10</v>
      </c>
    </row>
    <row r="49" spans="1:5" x14ac:dyDescent="0.2">
      <c r="A49" t="s">
        <v>2</v>
      </c>
      <c r="B49">
        <v>70</v>
      </c>
      <c r="C49">
        <v>572</v>
      </c>
      <c r="D49" s="1">
        <v>16.06734143935056</v>
      </c>
      <c r="E49" t="s">
        <v>10</v>
      </c>
    </row>
    <row r="50" spans="1:5" x14ac:dyDescent="0.2">
      <c r="A50" t="s">
        <v>2</v>
      </c>
      <c r="B50">
        <v>62</v>
      </c>
      <c r="C50">
        <v>573</v>
      </c>
      <c r="D50" s="1">
        <v>23.573507683401562</v>
      </c>
      <c r="E50" t="s">
        <v>10</v>
      </c>
    </row>
    <row r="51" spans="1:5" x14ac:dyDescent="0.2">
      <c r="A51" t="s">
        <v>2</v>
      </c>
      <c r="B51">
        <v>54</v>
      </c>
      <c r="C51">
        <v>579</v>
      </c>
      <c r="D51" s="1">
        <v>27.938859129243951</v>
      </c>
      <c r="E51" t="s">
        <v>10</v>
      </c>
    </row>
    <row r="52" spans="1:5" x14ac:dyDescent="0.2">
      <c r="A52" t="s">
        <v>2</v>
      </c>
      <c r="B52">
        <v>41</v>
      </c>
      <c r="C52">
        <v>586</v>
      </c>
      <c r="D52" s="1">
        <v>30.326294569010479</v>
      </c>
      <c r="E52" t="s">
        <v>10</v>
      </c>
    </row>
    <row r="53" spans="1:5" x14ac:dyDescent="0.2">
      <c r="A53" t="s">
        <v>2</v>
      </c>
      <c r="B53">
        <v>62</v>
      </c>
      <c r="C53">
        <v>595</v>
      </c>
      <c r="D53" s="1">
        <v>24.12173447160249</v>
      </c>
      <c r="E53" t="s">
        <v>10</v>
      </c>
    </row>
    <row r="54" spans="1:5" x14ac:dyDescent="0.2">
      <c r="A54" t="s">
        <v>2</v>
      </c>
      <c r="B54">
        <v>61</v>
      </c>
      <c r="C54">
        <v>595</v>
      </c>
      <c r="D54" s="1">
        <v>12.275641802021545</v>
      </c>
      <c r="E54" t="s">
        <v>10</v>
      </c>
    </row>
    <row r="55" spans="1:5" x14ac:dyDescent="0.2">
      <c r="A55" t="s">
        <v>2</v>
      </c>
      <c r="B55">
        <v>89</v>
      </c>
      <c r="C55">
        <v>599</v>
      </c>
      <c r="D55" s="1">
        <v>21.288480581303617</v>
      </c>
      <c r="E55" t="s">
        <v>10</v>
      </c>
    </row>
    <row r="56" spans="1:5" x14ac:dyDescent="0.2">
      <c r="A56" t="s">
        <v>2</v>
      </c>
      <c r="B56">
        <v>53</v>
      </c>
      <c r="C56">
        <v>601</v>
      </c>
      <c r="D56" s="1">
        <v>27.755994175975083</v>
      </c>
      <c r="E56" t="s">
        <v>10</v>
      </c>
    </row>
    <row r="57" spans="1:5" x14ac:dyDescent="0.2">
      <c r="A57" t="s">
        <v>2</v>
      </c>
      <c r="B57">
        <v>73</v>
      </c>
      <c r="C57">
        <v>605</v>
      </c>
      <c r="D57" s="1">
        <v>26.027913686639707</v>
      </c>
      <c r="E57" t="s">
        <v>10</v>
      </c>
    </row>
    <row r="58" spans="1:5" x14ac:dyDescent="0.2">
      <c r="A58" t="s">
        <v>2</v>
      </c>
      <c r="B58">
        <v>68</v>
      </c>
      <c r="C58">
        <v>606</v>
      </c>
      <c r="D58" s="1">
        <v>27.202934870574428</v>
      </c>
      <c r="E58" t="s">
        <v>10</v>
      </c>
    </row>
    <row r="59" spans="1:5" x14ac:dyDescent="0.2">
      <c r="A59" t="s">
        <v>2</v>
      </c>
      <c r="B59">
        <v>45</v>
      </c>
      <c r="C59">
        <v>609</v>
      </c>
      <c r="D59" s="1">
        <v>16.766547971650365</v>
      </c>
      <c r="E59" t="s">
        <v>10</v>
      </c>
    </row>
    <row r="60" spans="1:5" x14ac:dyDescent="0.2">
      <c r="A60" t="s">
        <v>2</v>
      </c>
      <c r="B60">
        <v>88</v>
      </c>
      <c r="C60">
        <v>611</v>
      </c>
      <c r="D60" s="1">
        <v>24.034615986073817</v>
      </c>
      <c r="E60" t="s">
        <v>10</v>
      </c>
    </row>
    <row r="61" spans="1:5" x14ac:dyDescent="0.2">
      <c r="A61" t="s">
        <v>2</v>
      </c>
      <c r="B61">
        <v>56</v>
      </c>
      <c r="C61">
        <v>611</v>
      </c>
      <c r="D61" s="1">
        <v>20.177952899291753</v>
      </c>
      <c r="E61" t="s">
        <v>10</v>
      </c>
    </row>
    <row r="62" spans="1:5" x14ac:dyDescent="0.2">
      <c r="A62" t="s">
        <v>2</v>
      </c>
      <c r="B62">
        <v>45</v>
      </c>
      <c r="C62">
        <v>616</v>
      </c>
      <c r="D62" s="1">
        <v>26.91145512059396</v>
      </c>
      <c r="E62" t="s">
        <v>10</v>
      </c>
    </row>
    <row r="63" spans="1:5" x14ac:dyDescent="0.2">
      <c r="A63" t="s">
        <v>2</v>
      </c>
      <c r="B63">
        <v>45</v>
      </c>
      <c r="C63">
        <v>623</v>
      </c>
      <c r="D63" s="1">
        <v>21.624930611564057</v>
      </c>
      <c r="E63" t="s">
        <v>10</v>
      </c>
    </row>
    <row r="64" spans="1:5" x14ac:dyDescent="0.2">
      <c r="A64" t="s">
        <v>2</v>
      </c>
      <c r="B64">
        <v>47</v>
      </c>
      <c r="C64">
        <v>625</v>
      </c>
      <c r="D64" s="1">
        <v>23.869670040118539</v>
      </c>
      <c r="E64" t="s">
        <v>10</v>
      </c>
    </row>
    <row r="65" spans="1:5" x14ac:dyDescent="0.2">
      <c r="A65" t="s">
        <v>2</v>
      </c>
      <c r="B65">
        <v>86</v>
      </c>
      <c r="C65">
        <v>625</v>
      </c>
      <c r="D65" s="1">
        <v>23.539493439206549</v>
      </c>
      <c r="E65" t="s">
        <v>10</v>
      </c>
    </row>
    <row r="66" spans="1:5" x14ac:dyDescent="0.2">
      <c r="A66" t="s">
        <v>2</v>
      </c>
      <c r="B66">
        <v>40</v>
      </c>
      <c r="C66">
        <v>627</v>
      </c>
      <c r="D66" s="1">
        <v>16.028940864573009</v>
      </c>
      <c r="E66" t="s">
        <v>10</v>
      </c>
    </row>
    <row r="67" spans="1:5" x14ac:dyDescent="0.2">
      <c r="A67" t="s">
        <v>2</v>
      </c>
      <c r="B67">
        <v>63</v>
      </c>
      <c r="C67">
        <v>631</v>
      </c>
      <c r="D67" s="1">
        <v>28.413108418007013</v>
      </c>
      <c r="E67" t="s">
        <v>10</v>
      </c>
    </row>
    <row r="68" spans="1:5" x14ac:dyDescent="0.2">
      <c r="A68" t="s">
        <v>2</v>
      </c>
      <c r="B68">
        <v>83</v>
      </c>
      <c r="C68">
        <v>644</v>
      </c>
      <c r="D68" s="1">
        <v>23.513093135565942</v>
      </c>
      <c r="E68" t="s">
        <v>9</v>
      </c>
    </row>
    <row r="69" spans="1:5" x14ac:dyDescent="0.2">
      <c r="A69" t="s">
        <v>2</v>
      </c>
      <c r="B69">
        <v>63</v>
      </c>
      <c r="C69">
        <v>646</v>
      </c>
      <c r="D69" s="1">
        <v>25.127615940008965</v>
      </c>
      <c r="E69" t="s">
        <v>9</v>
      </c>
    </row>
    <row r="70" spans="1:5" x14ac:dyDescent="0.2">
      <c r="A70" t="s">
        <v>2</v>
      </c>
      <c r="B70">
        <v>89</v>
      </c>
      <c r="C70">
        <v>649</v>
      </c>
      <c r="D70" s="1">
        <v>31.046643993346525</v>
      </c>
      <c r="E70" t="s">
        <v>9</v>
      </c>
    </row>
    <row r="71" spans="1:5" x14ac:dyDescent="0.2">
      <c r="A71" t="s">
        <v>2</v>
      </c>
      <c r="B71">
        <v>80</v>
      </c>
      <c r="C71">
        <v>654</v>
      </c>
      <c r="D71" s="1">
        <v>24.334917873864676</v>
      </c>
      <c r="E71" t="s">
        <v>9</v>
      </c>
    </row>
    <row r="72" spans="1:5" x14ac:dyDescent="0.2">
      <c r="A72" t="s">
        <v>2</v>
      </c>
      <c r="B72">
        <v>87</v>
      </c>
      <c r="C72">
        <v>661</v>
      </c>
      <c r="D72" s="1">
        <v>30.23582722005273</v>
      </c>
      <c r="E72" t="s">
        <v>9</v>
      </c>
    </row>
    <row r="73" spans="1:5" x14ac:dyDescent="0.2">
      <c r="A73" t="s">
        <v>2</v>
      </c>
      <c r="B73">
        <v>52</v>
      </c>
      <c r="C73">
        <v>663</v>
      </c>
      <c r="D73" s="1">
        <v>28.706165432427117</v>
      </c>
      <c r="E73" t="s">
        <v>9</v>
      </c>
    </row>
    <row r="74" spans="1:5" x14ac:dyDescent="0.2">
      <c r="A74" t="s">
        <v>2</v>
      </c>
      <c r="B74">
        <v>69</v>
      </c>
      <c r="C74">
        <v>665</v>
      </c>
      <c r="D74" s="1">
        <v>23.344681621851379</v>
      </c>
      <c r="E74" t="s">
        <v>9</v>
      </c>
    </row>
    <row r="75" spans="1:5" x14ac:dyDescent="0.2">
      <c r="A75" t="s">
        <v>2</v>
      </c>
      <c r="B75">
        <v>83</v>
      </c>
      <c r="C75">
        <v>669</v>
      </c>
      <c r="D75" s="1">
        <v>21.336349294584586</v>
      </c>
      <c r="E75" t="s">
        <v>9</v>
      </c>
    </row>
    <row r="76" spans="1:5" x14ac:dyDescent="0.2">
      <c r="A76" t="s">
        <v>2</v>
      </c>
      <c r="B76">
        <v>44</v>
      </c>
      <c r="C76">
        <v>672</v>
      </c>
      <c r="D76" s="1">
        <v>41.818726381738514</v>
      </c>
      <c r="E76" t="s">
        <v>9</v>
      </c>
    </row>
    <row r="77" spans="1:5" x14ac:dyDescent="0.2">
      <c r="A77" t="s">
        <v>2</v>
      </c>
      <c r="B77">
        <v>47</v>
      </c>
      <c r="C77">
        <v>685</v>
      </c>
      <c r="D77" s="1">
        <v>31.930403692557949</v>
      </c>
      <c r="E77" t="s">
        <v>9</v>
      </c>
    </row>
    <row r="78" spans="1:5" x14ac:dyDescent="0.2">
      <c r="A78" t="s">
        <v>2</v>
      </c>
      <c r="B78">
        <v>72</v>
      </c>
      <c r="C78">
        <v>687</v>
      </c>
      <c r="D78" s="1">
        <v>22.914615474102806</v>
      </c>
      <c r="E78" t="s">
        <v>9</v>
      </c>
    </row>
    <row r="79" spans="1:5" x14ac:dyDescent="0.2">
      <c r="A79" t="s">
        <v>2</v>
      </c>
      <c r="B79">
        <v>49</v>
      </c>
      <c r="C79">
        <v>688</v>
      </c>
      <c r="D79" s="1">
        <v>29.042322528430386</v>
      </c>
      <c r="E79" t="s">
        <v>9</v>
      </c>
    </row>
    <row r="80" spans="1:5" x14ac:dyDescent="0.2">
      <c r="A80" t="s">
        <v>2</v>
      </c>
      <c r="B80">
        <v>83</v>
      </c>
      <c r="C80">
        <v>688</v>
      </c>
      <c r="D80" s="1">
        <v>27.420280489420218</v>
      </c>
      <c r="E80" t="s">
        <v>9</v>
      </c>
    </row>
    <row r="81" spans="1:5" x14ac:dyDescent="0.2">
      <c r="A81" t="s">
        <v>2</v>
      </c>
      <c r="B81">
        <v>63</v>
      </c>
      <c r="C81">
        <v>690</v>
      </c>
      <c r="D81" s="1">
        <v>29.203278185481366</v>
      </c>
      <c r="E81" t="s">
        <v>9</v>
      </c>
    </row>
    <row r="82" spans="1:5" x14ac:dyDescent="0.2">
      <c r="A82" t="s">
        <v>2</v>
      </c>
      <c r="B82">
        <v>57</v>
      </c>
      <c r="C82">
        <v>695</v>
      </c>
      <c r="D82" s="1">
        <v>29.778266637843117</v>
      </c>
      <c r="E82" t="s">
        <v>9</v>
      </c>
    </row>
    <row r="83" spans="1:5" x14ac:dyDescent="0.2">
      <c r="A83" t="s">
        <v>2</v>
      </c>
      <c r="B83">
        <v>50</v>
      </c>
      <c r="C83">
        <v>701</v>
      </c>
      <c r="D83" s="1">
        <v>34.133393224680546</v>
      </c>
      <c r="E83" t="s">
        <v>9</v>
      </c>
    </row>
    <row r="84" spans="1:5" x14ac:dyDescent="0.2">
      <c r="A84" t="s">
        <v>2</v>
      </c>
      <c r="B84">
        <v>83</v>
      </c>
      <c r="C84">
        <v>702</v>
      </c>
      <c r="D84" s="1">
        <v>24.512964346852286</v>
      </c>
      <c r="E84" t="s">
        <v>9</v>
      </c>
    </row>
    <row r="85" spans="1:5" x14ac:dyDescent="0.2">
      <c r="A85" t="s">
        <v>2</v>
      </c>
      <c r="B85">
        <v>74</v>
      </c>
      <c r="C85">
        <v>707</v>
      </c>
      <c r="D85" s="1">
        <v>25.327104416192544</v>
      </c>
      <c r="E85" t="s">
        <v>9</v>
      </c>
    </row>
    <row r="86" spans="1:5" x14ac:dyDescent="0.2">
      <c r="A86" t="s">
        <v>2</v>
      </c>
      <c r="B86">
        <v>50</v>
      </c>
      <c r="C86">
        <v>713</v>
      </c>
      <c r="D86" s="1">
        <v>15.877809011400686</v>
      </c>
      <c r="E86" t="s">
        <v>9</v>
      </c>
    </row>
    <row r="87" spans="1:5" x14ac:dyDescent="0.2">
      <c r="A87" t="s">
        <v>2</v>
      </c>
      <c r="B87">
        <v>81</v>
      </c>
      <c r="C87">
        <v>714</v>
      </c>
      <c r="D87" s="1">
        <v>23.820754593423551</v>
      </c>
      <c r="E87" t="s">
        <v>9</v>
      </c>
    </row>
    <row r="88" spans="1:5" x14ac:dyDescent="0.2">
      <c r="A88" t="s">
        <v>2</v>
      </c>
      <c r="B88">
        <v>67</v>
      </c>
      <c r="C88">
        <v>717</v>
      </c>
      <c r="D88" s="1">
        <v>20.933797963221181</v>
      </c>
      <c r="E88" t="s">
        <v>9</v>
      </c>
    </row>
    <row r="89" spans="1:5" x14ac:dyDescent="0.2">
      <c r="A89" t="s">
        <v>2</v>
      </c>
      <c r="B89">
        <v>70</v>
      </c>
      <c r="C89">
        <v>720</v>
      </c>
      <c r="D89" s="1">
        <v>31.662324357095422</v>
      </c>
      <c r="E89" t="s">
        <v>9</v>
      </c>
    </row>
    <row r="90" spans="1:5" x14ac:dyDescent="0.2">
      <c r="A90" t="s">
        <v>2</v>
      </c>
      <c r="B90">
        <v>56</v>
      </c>
      <c r="C90">
        <v>724</v>
      </c>
      <c r="D90" s="1">
        <v>21.018262677658797</v>
      </c>
      <c r="E90" t="s">
        <v>9</v>
      </c>
    </row>
    <row r="91" spans="1:5" x14ac:dyDescent="0.2">
      <c r="A91" t="s">
        <v>2</v>
      </c>
      <c r="B91">
        <v>48</v>
      </c>
      <c r="C91">
        <v>725</v>
      </c>
      <c r="D91" s="1">
        <v>28.157825362537842</v>
      </c>
      <c r="E91" t="s">
        <v>9</v>
      </c>
    </row>
    <row r="92" spans="1:5" x14ac:dyDescent="0.2">
      <c r="A92" t="s">
        <v>2</v>
      </c>
      <c r="B92">
        <v>62</v>
      </c>
      <c r="C92">
        <v>727</v>
      </c>
      <c r="D92" s="1">
        <v>26.503042888651859</v>
      </c>
      <c r="E92" t="s">
        <v>9</v>
      </c>
    </row>
    <row r="93" spans="1:5" x14ac:dyDescent="0.2">
      <c r="A93" t="s">
        <v>2</v>
      </c>
      <c r="B93">
        <v>52</v>
      </c>
      <c r="C93">
        <v>733</v>
      </c>
      <c r="D93" s="1">
        <v>23.001894735197649</v>
      </c>
      <c r="E93" t="s">
        <v>9</v>
      </c>
    </row>
    <row r="94" spans="1:5" x14ac:dyDescent="0.2">
      <c r="A94" t="s">
        <v>2</v>
      </c>
      <c r="B94">
        <v>86</v>
      </c>
      <c r="C94">
        <v>734</v>
      </c>
      <c r="D94" s="1">
        <v>26.01194696096913</v>
      </c>
      <c r="E94" t="s">
        <v>9</v>
      </c>
    </row>
    <row r="95" spans="1:5" x14ac:dyDescent="0.2">
      <c r="A95" t="s">
        <v>2</v>
      </c>
      <c r="B95">
        <v>64</v>
      </c>
      <c r="C95">
        <v>736</v>
      </c>
      <c r="D95" s="1">
        <v>40.408333650867995</v>
      </c>
      <c r="E95" t="s">
        <v>9</v>
      </c>
    </row>
    <row r="96" spans="1:5" x14ac:dyDescent="0.2">
      <c r="A96" t="s">
        <v>2</v>
      </c>
      <c r="B96">
        <v>81</v>
      </c>
      <c r="C96">
        <v>737</v>
      </c>
      <c r="D96" s="1">
        <v>37.203901819488728</v>
      </c>
      <c r="E96" t="s">
        <v>9</v>
      </c>
    </row>
    <row r="97" spans="1:5" x14ac:dyDescent="0.2">
      <c r="A97" t="s">
        <v>2</v>
      </c>
      <c r="B97">
        <v>86</v>
      </c>
      <c r="C97">
        <v>738</v>
      </c>
      <c r="D97" s="1">
        <v>21.998785284485923</v>
      </c>
      <c r="E97" t="s">
        <v>9</v>
      </c>
    </row>
    <row r="98" spans="1:5" x14ac:dyDescent="0.2">
      <c r="A98" t="s">
        <v>2</v>
      </c>
      <c r="B98">
        <v>59</v>
      </c>
      <c r="C98">
        <v>739</v>
      </c>
      <c r="D98" s="1">
        <v>37.154040582917133</v>
      </c>
      <c r="E98" t="s">
        <v>9</v>
      </c>
    </row>
    <row r="99" spans="1:5" x14ac:dyDescent="0.2">
      <c r="A99" t="s">
        <v>2</v>
      </c>
      <c r="B99">
        <v>66</v>
      </c>
      <c r="C99">
        <v>740</v>
      </c>
      <c r="D99" s="1">
        <v>20.159225374607761</v>
      </c>
      <c r="E99" t="s">
        <v>9</v>
      </c>
    </row>
    <row r="100" spans="1:5" x14ac:dyDescent="0.2">
      <c r="A100" t="s">
        <v>2</v>
      </c>
      <c r="B100">
        <v>42</v>
      </c>
      <c r="C100">
        <v>746</v>
      </c>
      <c r="D100" s="1">
        <v>27.643234722359775</v>
      </c>
      <c r="E100" t="s">
        <v>9</v>
      </c>
    </row>
    <row r="101" spans="1:5" x14ac:dyDescent="0.2">
      <c r="A101" t="s">
        <v>2</v>
      </c>
      <c r="B101">
        <v>83</v>
      </c>
      <c r="C101">
        <v>750</v>
      </c>
      <c r="D101" s="1">
        <v>28.268851640825478</v>
      </c>
      <c r="E101" t="s">
        <v>9</v>
      </c>
    </row>
    <row r="102" spans="1:5" x14ac:dyDescent="0.2">
      <c r="A102" t="s">
        <v>1</v>
      </c>
      <c r="B102">
        <v>32</v>
      </c>
      <c r="C102" s="1">
        <v>102.38710027421307</v>
      </c>
      <c r="D102" s="1">
        <v>8.945521395259858</v>
      </c>
      <c r="E102" t="s">
        <v>8</v>
      </c>
    </row>
    <row r="103" spans="1:5" x14ac:dyDescent="0.2">
      <c r="A103" t="s">
        <v>1</v>
      </c>
      <c r="B103">
        <v>31</v>
      </c>
      <c r="C103" s="1">
        <v>117.8835928900325</v>
      </c>
      <c r="D103" s="1">
        <v>23.943036208305255</v>
      </c>
      <c r="E103" t="s">
        <v>8</v>
      </c>
    </row>
    <row r="104" spans="1:5" x14ac:dyDescent="0.2">
      <c r="A104" t="s">
        <v>1</v>
      </c>
      <c r="B104">
        <v>20</v>
      </c>
      <c r="C104" s="1">
        <v>122.9341784440149</v>
      </c>
      <c r="D104" s="1">
        <v>12.116262615621711</v>
      </c>
      <c r="E104" t="s">
        <v>8</v>
      </c>
    </row>
    <row r="105" spans="1:5" x14ac:dyDescent="0.2">
      <c r="A105" t="s">
        <v>1</v>
      </c>
      <c r="B105">
        <v>51</v>
      </c>
      <c r="C105" s="1">
        <v>125.7701683516176</v>
      </c>
      <c r="D105" s="1">
        <v>19.903633853516144</v>
      </c>
      <c r="E105" t="s">
        <v>8</v>
      </c>
    </row>
    <row r="106" spans="1:5" x14ac:dyDescent="0.2">
      <c r="A106" t="s">
        <v>1</v>
      </c>
      <c r="B106">
        <v>31</v>
      </c>
      <c r="C106" s="1">
        <v>133.4448206482989</v>
      </c>
      <c r="D106" s="1">
        <v>13.793949378928454</v>
      </c>
      <c r="E106" t="s">
        <v>8</v>
      </c>
    </row>
    <row r="107" spans="1:5" x14ac:dyDescent="0.2">
      <c r="A107" t="s">
        <v>1</v>
      </c>
      <c r="B107">
        <v>24</v>
      </c>
      <c r="C107" s="1">
        <v>137.11529013257308</v>
      </c>
      <c r="D107" s="1">
        <v>20.626298321822361</v>
      </c>
      <c r="E107" t="s">
        <v>8</v>
      </c>
    </row>
    <row r="108" spans="1:5" x14ac:dyDescent="0.2">
      <c r="A108" t="s">
        <v>1</v>
      </c>
      <c r="B108">
        <v>34</v>
      </c>
      <c r="C108" s="1">
        <v>141.40252890251418</v>
      </c>
      <c r="D108" s="1">
        <v>25.698726112209719</v>
      </c>
      <c r="E108" t="s">
        <v>8</v>
      </c>
    </row>
    <row r="109" spans="1:5" x14ac:dyDescent="0.2">
      <c r="A109" t="s">
        <v>1</v>
      </c>
      <c r="B109">
        <v>58</v>
      </c>
      <c r="C109" s="1">
        <v>146.99718852390066</v>
      </c>
      <c r="D109" s="1">
        <v>22.426838946188425</v>
      </c>
      <c r="E109" t="s">
        <v>8</v>
      </c>
    </row>
    <row r="110" spans="1:5" x14ac:dyDescent="0.2">
      <c r="A110" t="s">
        <v>1</v>
      </c>
      <c r="B110">
        <v>55</v>
      </c>
      <c r="C110" s="1">
        <v>149.94337512100921</v>
      </c>
      <c r="D110" s="1">
        <v>12.25114600421734</v>
      </c>
      <c r="E110" t="s">
        <v>8</v>
      </c>
    </row>
    <row r="111" spans="1:5" x14ac:dyDescent="0.2">
      <c r="A111" t="s">
        <v>1</v>
      </c>
      <c r="B111">
        <v>50</v>
      </c>
      <c r="C111" s="1">
        <v>150.93282234163033</v>
      </c>
      <c r="D111" s="1">
        <v>19.25076436532424</v>
      </c>
      <c r="E111" t="s">
        <v>8</v>
      </c>
    </row>
    <row r="112" spans="1:5" x14ac:dyDescent="0.2">
      <c r="A112" t="s">
        <v>1</v>
      </c>
      <c r="B112">
        <v>47</v>
      </c>
      <c r="C112" s="1">
        <v>166.41527798140478</v>
      </c>
      <c r="D112" s="1">
        <v>4.9470260646703927</v>
      </c>
      <c r="E112" t="s">
        <v>8</v>
      </c>
    </row>
    <row r="113" spans="1:5" x14ac:dyDescent="0.2">
      <c r="A113" t="s">
        <v>1</v>
      </c>
      <c r="B113">
        <v>7</v>
      </c>
      <c r="C113" s="1">
        <v>168.60333246405361</v>
      </c>
      <c r="D113" s="1">
        <v>19.153866016001817</v>
      </c>
      <c r="E113" t="s">
        <v>8</v>
      </c>
    </row>
    <row r="114" spans="1:5" x14ac:dyDescent="0.2">
      <c r="A114" t="s">
        <v>1</v>
      </c>
      <c r="B114">
        <v>16</v>
      </c>
      <c r="C114" s="1">
        <v>171.11626331181043</v>
      </c>
      <c r="D114" s="1">
        <v>21.80081006986811</v>
      </c>
      <c r="E114" t="s">
        <v>8</v>
      </c>
    </row>
    <row r="115" spans="1:5" x14ac:dyDescent="0.2">
      <c r="A115" t="s">
        <v>1</v>
      </c>
      <c r="B115">
        <v>21</v>
      </c>
      <c r="C115" s="1">
        <v>184.49231178988748</v>
      </c>
      <c r="D115" s="1">
        <v>28.152102825991193</v>
      </c>
      <c r="E115" t="s">
        <v>8</v>
      </c>
    </row>
    <row r="116" spans="1:5" x14ac:dyDescent="0.2">
      <c r="A116" t="s">
        <v>1</v>
      </c>
      <c r="B116">
        <v>58</v>
      </c>
      <c r="C116" s="1">
        <v>191.76734689178056</v>
      </c>
      <c r="D116" s="1">
        <v>12.557288695532545</v>
      </c>
      <c r="E116" t="s">
        <v>8</v>
      </c>
    </row>
    <row r="117" spans="1:5" x14ac:dyDescent="0.2">
      <c r="A117" t="s">
        <v>1</v>
      </c>
      <c r="B117">
        <v>25</v>
      </c>
      <c r="C117" s="1">
        <v>192.85604261412317</v>
      </c>
      <c r="D117" s="1">
        <v>14.214441400380043</v>
      </c>
      <c r="E117" t="s">
        <v>8</v>
      </c>
    </row>
    <row r="118" spans="1:5" x14ac:dyDescent="0.2">
      <c r="A118" t="s">
        <v>1</v>
      </c>
      <c r="B118">
        <v>43</v>
      </c>
      <c r="C118" s="1">
        <v>203.48548018994208</v>
      </c>
      <c r="D118" s="1">
        <v>22.418213992682674</v>
      </c>
      <c r="E118" t="s">
        <v>8</v>
      </c>
    </row>
    <row r="119" spans="1:5" x14ac:dyDescent="0.2">
      <c r="A119" t="s">
        <v>1</v>
      </c>
      <c r="B119">
        <v>19</v>
      </c>
      <c r="C119" s="1">
        <v>205.84306400023502</v>
      </c>
      <c r="D119" s="1">
        <v>21.547065671429401</v>
      </c>
      <c r="E119" t="s">
        <v>8</v>
      </c>
    </row>
    <row r="120" spans="1:5" x14ac:dyDescent="0.2">
      <c r="A120" t="s">
        <v>1</v>
      </c>
      <c r="B120">
        <v>16</v>
      </c>
      <c r="C120" s="1">
        <v>210.08151936956989</v>
      </c>
      <c r="D120" s="1">
        <v>23.703620916100682</v>
      </c>
      <c r="E120" t="s">
        <v>8</v>
      </c>
    </row>
    <row r="121" spans="1:5" x14ac:dyDescent="0.2">
      <c r="A121" t="s">
        <v>1</v>
      </c>
      <c r="B121">
        <v>54</v>
      </c>
      <c r="C121" s="1">
        <v>220.90064541211564</v>
      </c>
      <c r="D121" s="1">
        <v>18.644172980492865</v>
      </c>
      <c r="E121" t="s">
        <v>8</v>
      </c>
    </row>
    <row r="122" spans="1:5" x14ac:dyDescent="0.2">
      <c r="A122" t="s">
        <v>1</v>
      </c>
      <c r="B122">
        <v>7</v>
      </c>
      <c r="C122" s="1">
        <v>222.27667979996116</v>
      </c>
      <c r="D122" s="1">
        <v>19.322147561873287</v>
      </c>
      <c r="E122" t="s">
        <v>8</v>
      </c>
    </row>
    <row r="123" spans="1:5" x14ac:dyDescent="0.2">
      <c r="A123" t="s">
        <v>1</v>
      </c>
      <c r="B123">
        <v>10</v>
      </c>
      <c r="C123" s="1">
        <v>229.5124751312492</v>
      </c>
      <c r="D123" s="1">
        <v>17.786458605533586</v>
      </c>
      <c r="E123" t="s">
        <v>8</v>
      </c>
    </row>
    <row r="124" spans="1:5" x14ac:dyDescent="0.2">
      <c r="A124" t="s">
        <v>1</v>
      </c>
      <c r="B124">
        <v>57</v>
      </c>
      <c r="C124" s="1">
        <v>229.66622688813868</v>
      </c>
      <c r="D124" s="1">
        <v>25.371262695187749</v>
      </c>
      <c r="E124" t="s">
        <v>8</v>
      </c>
    </row>
    <row r="125" spans="1:5" x14ac:dyDescent="0.2">
      <c r="A125" t="s">
        <v>1</v>
      </c>
      <c r="B125">
        <v>41</v>
      </c>
      <c r="C125" s="1">
        <v>234.00217196774111</v>
      </c>
      <c r="D125" s="1">
        <v>16.432122140153609</v>
      </c>
      <c r="E125" t="s">
        <v>8</v>
      </c>
    </row>
    <row r="126" spans="1:5" x14ac:dyDescent="0.2">
      <c r="A126" t="s">
        <v>1</v>
      </c>
      <c r="B126">
        <v>39</v>
      </c>
      <c r="C126" s="1">
        <v>237.08734263017507</v>
      </c>
      <c r="D126" s="1">
        <v>26.163964240002201</v>
      </c>
      <c r="E126" t="s">
        <v>8</v>
      </c>
    </row>
    <row r="127" spans="1:5" x14ac:dyDescent="0.2">
      <c r="A127" t="s">
        <v>1</v>
      </c>
      <c r="B127">
        <v>24</v>
      </c>
      <c r="C127" s="1">
        <v>239.64001535977476</v>
      </c>
      <c r="D127" s="1">
        <v>18.078555645746697</v>
      </c>
      <c r="E127" t="s">
        <v>8</v>
      </c>
    </row>
    <row r="128" spans="1:5" x14ac:dyDescent="0.2">
      <c r="A128" t="s">
        <v>1</v>
      </c>
      <c r="B128">
        <v>39</v>
      </c>
      <c r="C128" s="1">
        <v>239.7301873542971</v>
      </c>
      <c r="D128" s="1">
        <v>21.189079417028104</v>
      </c>
      <c r="E128" t="s">
        <v>8</v>
      </c>
    </row>
    <row r="129" spans="1:5" x14ac:dyDescent="0.2">
      <c r="A129" t="s">
        <v>1</v>
      </c>
      <c r="B129">
        <v>52</v>
      </c>
      <c r="C129" s="1">
        <v>244.96189764222089</v>
      </c>
      <c r="D129" s="1">
        <v>15.043693464890044</v>
      </c>
      <c r="E129" t="s">
        <v>10</v>
      </c>
    </row>
    <row r="130" spans="1:5" x14ac:dyDescent="0.2">
      <c r="A130" t="s">
        <v>1</v>
      </c>
      <c r="B130">
        <v>20</v>
      </c>
      <c r="C130" s="1">
        <v>246.10874796554674</v>
      </c>
      <c r="D130" s="1">
        <v>17.891013230722514</v>
      </c>
      <c r="E130" t="s">
        <v>10</v>
      </c>
    </row>
    <row r="131" spans="1:5" x14ac:dyDescent="0.2">
      <c r="A131" t="s">
        <v>1</v>
      </c>
      <c r="B131">
        <v>35</v>
      </c>
      <c r="C131" s="1">
        <v>260.0152316529859</v>
      </c>
      <c r="D131" s="1">
        <v>21.465217663361258</v>
      </c>
      <c r="E131" t="s">
        <v>10</v>
      </c>
    </row>
    <row r="132" spans="1:5" x14ac:dyDescent="0.2">
      <c r="A132" t="s">
        <v>1</v>
      </c>
      <c r="B132">
        <v>13</v>
      </c>
      <c r="C132" s="1">
        <v>268.12766866645791</v>
      </c>
      <c r="D132" s="1">
        <v>13.330477275669242</v>
      </c>
      <c r="E132" t="s">
        <v>10</v>
      </c>
    </row>
    <row r="133" spans="1:5" x14ac:dyDescent="0.2">
      <c r="A133" t="s">
        <v>1</v>
      </c>
      <c r="B133">
        <v>50</v>
      </c>
      <c r="C133" s="1">
        <v>269.23705173375981</v>
      </c>
      <c r="D133" s="1">
        <v>18.065617750950445</v>
      </c>
      <c r="E133" t="s">
        <v>10</v>
      </c>
    </row>
    <row r="134" spans="1:5" x14ac:dyDescent="0.2">
      <c r="A134" t="s">
        <v>1</v>
      </c>
      <c r="B134">
        <v>52</v>
      </c>
      <c r="C134" s="1">
        <v>269.37848345647666</v>
      </c>
      <c r="D134" s="1">
        <v>13.810486950703101</v>
      </c>
      <c r="E134" t="s">
        <v>10</v>
      </c>
    </row>
    <row r="135" spans="1:5" x14ac:dyDescent="0.2">
      <c r="A135" t="s">
        <v>1</v>
      </c>
      <c r="B135">
        <v>30</v>
      </c>
      <c r="C135" s="1">
        <v>273.63431339321278</v>
      </c>
      <c r="D135" s="1">
        <v>14.682619994964018</v>
      </c>
      <c r="E135" t="s">
        <v>10</v>
      </c>
    </row>
    <row r="136" spans="1:5" x14ac:dyDescent="0.2">
      <c r="A136" t="s">
        <v>1</v>
      </c>
      <c r="B136">
        <v>21</v>
      </c>
      <c r="C136" s="1">
        <v>291.67649332356086</v>
      </c>
      <c r="D136" s="1">
        <v>15.913249869372608</v>
      </c>
      <c r="E136" t="s">
        <v>10</v>
      </c>
    </row>
    <row r="137" spans="1:5" x14ac:dyDescent="0.2">
      <c r="A137" t="s">
        <v>1</v>
      </c>
      <c r="B137">
        <v>14</v>
      </c>
      <c r="C137" s="1">
        <v>292.9170779799656</v>
      </c>
      <c r="D137" s="1">
        <v>27.84537735253879</v>
      </c>
      <c r="E137" t="s">
        <v>10</v>
      </c>
    </row>
    <row r="138" spans="1:5" x14ac:dyDescent="0.2">
      <c r="A138" t="s">
        <v>1</v>
      </c>
      <c r="B138">
        <v>27</v>
      </c>
      <c r="C138" s="1">
        <v>297.57294586264607</v>
      </c>
      <c r="D138" s="1">
        <v>18.157469391681154</v>
      </c>
      <c r="E138" t="s">
        <v>10</v>
      </c>
    </row>
    <row r="139" spans="1:5" x14ac:dyDescent="0.2">
      <c r="A139" t="s">
        <v>1</v>
      </c>
      <c r="B139">
        <v>19</v>
      </c>
      <c r="C139" s="1">
        <v>300.34692628001915</v>
      </c>
      <c r="D139" s="1">
        <v>14.708616583790139</v>
      </c>
      <c r="E139" t="s">
        <v>10</v>
      </c>
    </row>
    <row r="140" spans="1:5" x14ac:dyDescent="0.2">
      <c r="A140" t="s">
        <v>1</v>
      </c>
      <c r="B140">
        <v>13</v>
      </c>
      <c r="C140" s="1">
        <v>302.60743753033546</v>
      </c>
      <c r="D140" s="1">
        <v>22.651906137298468</v>
      </c>
      <c r="E140" t="s">
        <v>10</v>
      </c>
    </row>
    <row r="141" spans="1:5" x14ac:dyDescent="0.2">
      <c r="A141" t="s">
        <v>1</v>
      </c>
      <c r="B141">
        <v>32</v>
      </c>
      <c r="C141" s="1">
        <v>315.24807589468685</v>
      </c>
      <c r="D141" s="1">
        <v>20.452039715776998</v>
      </c>
      <c r="E141" t="s">
        <v>10</v>
      </c>
    </row>
    <row r="142" spans="1:5" x14ac:dyDescent="0.2">
      <c r="A142" t="s">
        <v>1</v>
      </c>
      <c r="B142">
        <v>55</v>
      </c>
      <c r="C142" s="1">
        <v>318.72118832110533</v>
      </c>
      <c r="D142" s="1">
        <v>14.339103985809681</v>
      </c>
      <c r="E142" t="s">
        <v>10</v>
      </c>
    </row>
    <row r="143" spans="1:5" x14ac:dyDescent="0.2">
      <c r="A143" t="s">
        <v>1</v>
      </c>
      <c r="B143">
        <v>42</v>
      </c>
      <c r="C143" s="1">
        <v>325.09444198378281</v>
      </c>
      <c r="D143" s="1">
        <v>19.219135177168543</v>
      </c>
      <c r="E143" t="s">
        <v>10</v>
      </c>
    </row>
    <row r="144" spans="1:5" x14ac:dyDescent="0.2">
      <c r="A144" t="s">
        <v>1</v>
      </c>
      <c r="B144">
        <v>24</v>
      </c>
      <c r="C144" s="1">
        <v>341.82283568670027</v>
      </c>
      <c r="D144" s="1">
        <v>17.002773843678384</v>
      </c>
      <c r="E144" t="s">
        <v>10</v>
      </c>
    </row>
    <row r="145" spans="1:5" x14ac:dyDescent="0.2">
      <c r="A145" t="s">
        <v>1</v>
      </c>
      <c r="B145">
        <v>9</v>
      </c>
      <c r="C145" s="1">
        <v>348.29187314876856</v>
      </c>
      <c r="D145" s="1">
        <v>22.305771563087276</v>
      </c>
      <c r="E145" t="s">
        <v>10</v>
      </c>
    </row>
    <row r="146" spans="1:5" x14ac:dyDescent="0.2">
      <c r="A146" t="s">
        <v>1</v>
      </c>
      <c r="B146">
        <v>57</v>
      </c>
      <c r="C146" s="1">
        <v>351.13905141342616</v>
      </c>
      <c r="D146" s="1">
        <v>19.837148253338651</v>
      </c>
      <c r="E146" t="s">
        <v>10</v>
      </c>
    </row>
    <row r="147" spans="1:5" x14ac:dyDescent="0.2">
      <c r="A147" t="s">
        <v>1</v>
      </c>
      <c r="B147">
        <v>26</v>
      </c>
      <c r="C147" s="1">
        <v>354.29346710281345</v>
      </c>
      <c r="D147" s="1">
        <v>26.136833582825847</v>
      </c>
      <c r="E147" t="s">
        <v>10</v>
      </c>
    </row>
    <row r="148" spans="1:5" x14ac:dyDescent="0.2">
      <c r="A148" t="s">
        <v>1</v>
      </c>
      <c r="B148">
        <v>12</v>
      </c>
      <c r="C148" s="1">
        <v>354.49580445236018</v>
      </c>
      <c r="D148" s="1">
        <v>18.413019712877531</v>
      </c>
      <c r="E148" t="s">
        <v>10</v>
      </c>
    </row>
    <row r="149" spans="1:5" x14ac:dyDescent="0.2">
      <c r="A149" t="s">
        <v>1</v>
      </c>
      <c r="B149">
        <v>35</v>
      </c>
      <c r="C149" s="1">
        <v>355.25668996264358</v>
      </c>
      <c r="D149" s="1">
        <v>15.999941598969182</v>
      </c>
      <c r="E149" t="s">
        <v>10</v>
      </c>
    </row>
    <row r="150" spans="1:5" x14ac:dyDescent="0.2">
      <c r="A150" t="s">
        <v>1</v>
      </c>
      <c r="B150">
        <v>22</v>
      </c>
      <c r="C150" s="1">
        <v>362.95239232320722</v>
      </c>
      <c r="D150" s="1">
        <v>21.860224765036882</v>
      </c>
      <c r="E150" t="s">
        <v>10</v>
      </c>
    </row>
    <row r="151" spans="1:5" x14ac:dyDescent="0.2">
      <c r="A151" t="s">
        <v>1</v>
      </c>
      <c r="B151">
        <v>20</v>
      </c>
      <c r="C151" s="1">
        <v>364.28655362113363</v>
      </c>
      <c r="D151" s="1">
        <v>17.200149094005198</v>
      </c>
      <c r="E151" t="s">
        <v>10</v>
      </c>
    </row>
    <row r="152" spans="1:5" x14ac:dyDescent="0.2">
      <c r="A152" t="s">
        <v>1</v>
      </c>
      <c r="B152">
        <v>31</v>
      </c>
      <c r="C152" s="1">
        <v>364.80000731582544</v>
      </c>
      <c r="D152" s="1">
        <v>19.246521828094913</v>
      </c>
      <c r="E152" t="s">
        <v>10</v>
      </c>
    </row>
    <row r="153" spans="1:5" x14ac:dyDescent="0.2">
      <c r="A153" t="s">
        <v>1</v>
      </c>
      <c r="B153">
        <v>6</v>
      </c>
      <c r="C153" s="1">
        <v>374.36574328588262</v>
      </c>
      <c r="D153" s="1">
        <v>29.878979300254006</v>
      </c>
      <c r="E153" t="s">
        <v>10</v>
      </c>
    </row>
    <row r="154" spans="1:5" x14ac:dyDescent="0.2">
      <c r="A154" t="s">
        <v>1</v>
      </c>
      <c r="B154">
        <v>25</v>
      </c>
      <c r="C154" s="1">
        <v>375.87357436532636</v>
      </c>
      <c r="D154" s="1">
        <v>17.253918617590656</v>
      </c>
      <c r="E154" t="s">
        <v>10</v>
      </c>
    </row>
    <row r="155" spans="1:5" x14ac:dyDescent="0.2">
      <c r="A155" t="s">
        <v>1</v>
      </c>
      <c r="B155">
        <v>45</v>
      </c>
      <c r="C155" s="1">
        <v>384.34202519063825</v>
      </c>
      <c r="D155" s="1">
        <v>20.783882817040816</v>
      </c>
      <c r="E155" t="s">
        <v>10</v>
      </c>
    </row>
    <row r="156" spans="1:5" x14ac:dyDescent="0.2">
      <c r="A156" t="s">
        <v>1</v>
      </c>
      <c r="B156">
        <v>51</v>
      </c>
      <c r="C156" s="1">
        <v>393.63650290001664</v>
      </c>
      <c r="D156" s="1">
        <v>18.838265524767792</v>
      </c>
      <c r="E156" t="s">
        <v>10</v>
      </c>
    </row>
    <row r="157" spans="1:5" x14ac:dyDescent="0.2">
      <c r="A157" t="s">
        <v>1</v>
      </c>
      <c r="B157">
        <v>60</v>
      </c>
      <c r="C157" s="1">
        <v>395.30900367654755</v>
      </c>
      <c r="D157" s="1">
        <v>17.632596529576325</v>
      </c>
      <c r="E157" t="s">
        <v>10</v>
      </c>
    </row>
    <row r="158" spans="1:5" x14ac:dyDescent="0.2">
      <c r="A158" t="s">
        <v>1</v>
      </c>
      <c r="B158">
        <v>48</v>
      </c>
      <c r="C158" s="1">
        <v>396.0169192929647</v>
      </c>
      <c r="D158" s="1">
        <v>14.423483940414563</v>
      </c>
      <c r="E158" t="s">
        <v>10</v>
      </c>
    </row>
    <row r="159" spans="1:5" x14ac:dyDescent="0.2">
      <c r="A159" t="s">
        <v>1</v>
      </c>
      <c r="B159">
        <v>41</v>
      </c>
      <c r="C159" s="1">
        <v>397.34443525221587</v>
      </c>
      <c r="D159" s="1">
        <v>17.61005690125733</v>
      </c>
      <c r="E159" t="s">
        <v>10</v>
      </c>
    </row>
    <row r="160" spans="1:5" x14ac:dyDescent="0.2">
      <c r="A160" t="s">
        <v>1</v>
      </c>
      <c r="B160">
        <v>15</v>
      </c>
      <c r="C160" s="1">
        <v>407.8611222005776</v>
      </c>
      <c r="D160" s="1">
        <v>19.950713052418877</v>
      </c>
      <c r="E160" t="s">
        <v>10</v>
      </c>
    </row>
    <row r="161" spans="1:5" x14ac:dyDescent="0.2">
      <c r="A161" t="s">
        <v>1</v>
      </c>
      <c r="B161">
        <v>35</v>
      </c>
      <c r="C161" s="1">
        <v>414.63396656812438</v>
      </c>
      <c r="D161" s="1">
        <v>21.733266943397584</v>
      </c>
      <c r="E161" t="s">
        <v>10</v>
      </c>
    </row>
    <row r="162" spans="1:5" x14ac:dyDescent="0.2">
      <c r="A162" t="s">
        <v>1</v>
      </c>
      <c r="B162">
        <v>59</v>
      </c>
      <c r="C162" s="1">
        <v>416.9180625659954</v>
      </c>
      <c r="D162" s="1">
        <v>18.599277484859176</v>
      </c>
      <c r="E162" t="s">
        <v>10</v>
      </c>
    </row>
    <row r="163" spans="1:5" x14ac:dyDescent="0.2">
      <c r="A163" t="s">
        <v>1</v>
      </c>
      <c r="B163">
        <v>11</v>
      </c>
      <c r="C163" s="1">
        <v>421.95945437276043</v>
      </c>
      <c r="D163" s="1">
        <v>13.306715060261933</v>
      </c>
      <c r="E163" t="s">
        <v>10</v>
      </c>
    </row>
    <row r="164" spans="1:5" x14ac:dyDescent="0.2">
      <c r="A164" t="s">
        <v>1</v>
      </c>
      <c r="B164">
        <v>60</v>
      </c>
      <c r="C164" s="1">
        <v>424.06497100368739</v>
      </c>
      <c r="D164" s="1">
        <v>15.645415225207177</v>
      </c>
      <c r="E164" t="s">
        <v>10</v>
      </c>
    </row>
    <row r="165" spans="1:5" x14ac:dyDescent="0.2">
      <c r="A165" t="s">
        <v>1</v>
      </c>
      <c r="B165">
        <v>52</v>
      </c>
      <c r="C165" s="1">
        <v>426.36118830377626</v>
      </c>
      <c r="D165" s="1">
        <v>13.143742093850726</v>
      </c>
      <c r="E165" t="s">
        <v>10</v>
      </c>
    </row>
    <row r="166" spans="1:5" x14ac:dyDescent="0.2">
      <c r="A166" t="s">
        <v>1</v>
      </c>
      <c r="B166">
        <v>25</v>
      </c>
      <c r="C166" s="1">
        <v>428.56911698343214</v>
      </c>
      <c r="D166" s="1">
        <v>13.104478672689769</v>
      </c>
      <c r="E166" t="s">
        <v>10</v>
      </c>
    </row>
    <row r="167" spans="1:5" x14ac:dyDescent="0.2">
      <c r="A167" t="s">
        <v>1</v>
      </c>
      <c r="B167">
        <v>6</v>
      </c>
      <c r="C167" s="1">
        <v>440.01702589462423</v>
      </c>
      <c r="D167" s="1">
        <v>20.122860211217063</v>
      </c>
      <c r="E167" t="s">
        <v>10</v>
      </c>
    </row>
    <row r="168" spans="1:5" x14ac:dyDescent="0.2">
      <c r="A168" t="s">
        <v>1</v>
      </c>
      <c r="B168">
        <v>34</v>
      </c>
      <c r="C168" s="1">
        <v>449.99842365712033</v>
      </c>
      <c r="D168" s="1">
        <v>13.590889513963864</v>
      </c>
      <c r="E168" t="s">
        <v>9</v>
      </c>
    </row>
    <row r="169" spans="1:5" x14ac:dyDescent="0.2">
      <c r="A169" t="s">
        <v>1</v>
      </c>
      <c r="B169">
        <v>39</v>
      </c>
      <c r="C169" s="1">
        <v>450.44288513097518</v>
      </c>
      <c r="D169" s="1">
        <v>13.079251652090527</v>
      </c>
      <c r="E169" t="s">
        <v>9</v>
      </c>
    </row>
    <row r="170" spans="1:5" x14ac:dyDescent="0.2">
      <c r="A170" t="s">
        <v>1</v>
      </c>
      <c r="B170">
        <v>35</v>
      </c>
      <c r="C170" s="1">
        <v>451.12273866815679</v>
      </c>
      <c r="D170" s="1">
        <v>8.6782820517883685</v>
      </c>
      <c r="E170" t="s">
        <v>9</v>
      </c>
    </row>
    <row r="171" spans="1:5" x14ac:dyDescent="0.2">
      <c r="A171" t="s">
        <v>1</v>
      </c>
      <c r="B171">
        <v>54</v>
      </c>
      <c r="C171" s="1">
        <v>453.59311809002935</v>
      </c>
      <c r="D171" s="1">
        <v>17.454518397427574</v>
      </c>
      <c r="E171" t="s">
        <v>9</v>
      </c>
    </row>
    <row r="172" spans="1:5" x14ac:dyDescent="0.2">
      <c r="A172" t="s">
        <v>1</v>
      </c>
      <c r="B172">
        <v>30</v>
      </c>
      <c r="C172" s="1">
        <v>455.11168715780303</v>
      </c>
      <c r="D172" s="1">
        <v>18.853497355592673</v>
      </c>
      <c r="E172" t="s">
        <v>9</v>
      </c>
    </row>
    <row r="173" spans="1:5" x14ac:dyDescent="0.2">
      <c r="A173" t="s">
        <v>1</v>
      </c>
      <c r="B173">
        <v>13</v>
      </c>
      <c r="C173" s="1">
        <v>468.9365492183656</v>
      </c>
      <c r="D173" s="1">
        <v>22.376260619473822</v>
      </c>
      <c r="E173" t="s">
        <v>9</v>
      </c>
    </row>
    <row r="174" spans="1:5" x14ac:dyDescent="0.2">
      <c r="A174" t="s">
        <v>1</v>
      </c>
      <c r="B174">
        <v>31</v>
      </c>
      <c r="C174" s="1">
        <v>473.94396487018133</v>
      </c>
      <c r="D174" s="1">
        <v>12.349061354540817</v>
      </c>
      <c r="E174" t="s">
        <v>9</v>
      </c>
    </row>
    <row r="175" spans="1:5" x14ac:dyDescent="0.2">
      <c r="A175" t="s">
        <v>1</v>
      </c>
      <c r="B175">
        <v>51</v>
      </c>
      <c r="C175" s="1">
        <v>483.34303072331932</v>
      </c>
      <c r="D175" s="1">
        <v>16.707998223273293</v>
      </c>
      <c r="E175" t="s">
        <v>9</v>
      </c>
    </row>
    <row r="176" spans="1:5" x14ac:dyDescent="0.2">
      <c r="A176" t="s">
        <v>1</v>
      </c>
      <c r="B176">
        <v>18</v>
      </c>
      <c r="C176" s="1">
        <v>484.9408229311253</v>
      </c>
      <c r="D176" s="1">
        <v>1.9106418033310675</v>
      </c>
      <c r="E176" t="s">
        <v>9</v>
      </c>
    </row>
    <row r="177" spans="1:5" x14ac:dyDescent="0.2">
      <c r="A177" t="s">
        <v>1</v>
      </c>
      <c r="B177">
        <v>38</v>
      </c>
      <c r="C177" s="1">
        <v>495.336273820462</v>
      </c>
      <c r="D177" s="1">
        <v>14.150081360483357</v>
      </c>
      <c r="E177" t="s">
        <v>9</v>
      </c>
    </row>
    <row r="178" spans="1:5" x14ac:dyDescent="0.2">
      <c r="A178" t="s">
        <v>1</v>
      </c>
      <c r="B178">
        <v>7</v>
      </c>
      <c r="C178" s="1">
        <v>496.72294733268564</v>
      </c>
      <c r="D178" s="1">
        <v>18.23272259614669</v>
      </c>
      <c r="E178" t="s">
        <v>9</v>
      </c>
    </row>
    <row r="179" spans="1:5" x14ac:dyDescent="0.2">
      <c r="A179" t="s">
        <v>1</v>
      </c>
      <c r="B179">
        <v>50</v>
      </c>
      <c r="C179" s="1">
        <v>501.3957950301932</v>
      </c>
      <c r="D179" s="1">
        <v>20.877755551990077</v>
      </c>
      <c r="E179" t="s">
        <v>9</v>
      </c>
    </row>
    <row r="180" spans="1:5" x14ac:dyDescent="0.2">
      <c r="A180" t="s">
        <v>1</v>
      </c>
      <c r="B180">
        <v>19</v>
      </c>
      <c r="C180" s="1">
        <v>502.54875849874048</v>
      </c>
      <c r="D180" s="1">
        <v>23.178079644090801</v>
      </c>
      <c r="E180" t="s">
        <v>9</v>
      </c>
    </row>
    <row r="181" spans="1:5" x14ac:dyDescent="0.2">
      <c r="A181" t="s">
        <v>1</v>
      </c>
      <c r="B181">
        <v>35</v>
      </c>
      <c r="C181" s="1">
        <v>505.30506291283973</v>
      </c>
      <c r="D181" s="1">
        <v>19.365361915266114</v>
      </c>
      <c r="E181" t="s">
        <v>9</v>
      </c>
    </row>
    <row r="182" spans="1:5" x14ac:dyDescent="0.2">
      <c r="A182" t="s">
        <v>1</v>
      </c>
      <c r="B182">
        <v>27</v>
      </c>
      <c r="C182" s="1">
        <v>507.4279591860992</v>
      </c>
      <c r="D182" s="1">
        <v>4.3036350230109228</v>
      </c>
      <c r="E182" t="s">
        <v>9</v>
      </c>
    </row>
    <row r="183" spans="1:5" x14ac:dyDescent="0.2">
      <c r="A183" t="s">
        <v>1</v>
      </c>
      <c r="B183">
        <v>20</v>
      </c>
      <c r="C183" s="1">
        <v>510.63151675593576</v>
      </c>
      <c r="D183" s="1">
        <v>19.153201923256184</v>
      </c>
      <c r="E183" t="s">
        <v>9</v>
      </c>
    </row>
    <row r="184" spans="1:5" x14ac:dyDescent="0.2">
      <c r="A184" t="s">
        <v>1</v>
      </c>
      <c r="B184">
        <v>37</v>
      </c>
      <c r="C184" s="1">
        <v>515.63876029379776</v>
      </c>
      <c r="D184" s="1">
        <v>19.392986309009309</v>
      </c>
      <c r="E184" t="s">
        <v>9</v>
      </c>
    </row>
    <row r="185" spans="1:5" x14ac:dyDescent="0.2">
      <c r="A185" t="s">
        <v>1</v>
      </c>
      <c r="B185">
        <v>46</v>
      </c>
      <c r="C185" s="1">
        <v>523.56863772308861</v>
      </c>
      <c r="D185" s="1">
        <v>9.8010291932559568</v>
      </c>
      <c r="E185" t="s">
        <v>9</v>
      </c>
    </row>
    <row r="186" spans="1:5" x14ac:dyDescent="0.2">
      <c r="A186" t="s">
        <v>1</v>
      </c>
      <c r="B186">
        <v>17</v>
      </c>
      <c r="C186" s="1">
        <v>523.6082897982003</v>
      </c>
      <c r="D186" s="1">
        <v>18.419567682209173</v>
      </c>
      <c r="E186" t="s">
        <v>9</v>
      </c>
    </row>
    <row r="187" spans="1:5" x14ac:dyDescent="0.2">
      <c r="A187" t="s">
        <v>1</v>
      </c>
      <c r="B187">
        <v>24</v>
      </c>
      <c r="C187" s="1">
        <v>534.6751337869855</v>
      </c>
      <c r="D187" s="1">
        <v>22.480850777523749</v>
      </c>
      <c r="E187" t="s">
        <v>9</v>
      </c>
    </row>
    <row r="188" spans="1:5" x14ac:dyDescent="0.2">
      <c r="A188" t="s">
        <v>1</v>
      </c>
      <c r="B188">
        <v>14</v>
      </c>
      <c r="C188" s="1">
        <v>536.84551920047056</v>
      </c>
      <c r="D188" s="1">
        <v>21.431233817117644</v>
      </c>
      <c r="E188" t="s">
        <v>9</v>
      </c>
    </row>
    <row r="189" spans="1:5" x14ac:dyDescent="0.2">
      <c r="A189" t="s">
        <v>1</v>
      </c>
      <c r="B189">
        <v>30</v>
      </c>
      <c r="C189" s="1">
        <v>538.41981394427694</v>
      </c>
      <c r="D189" s="1">
        <v>25.106176135879707</v>
      </c>
      <c r="E189" t="s">
        <v>9</v>
      </c>
    </row>
    <row r="190" spans="1:5" x14ac:dyDescent="0.2">
      <c r="A190" t="s">
        <v>1</v>
      </c>
      <c r="B190">
        <v>16</v>
      </c>
      <c r="C190" s="1">
        <v>540.8502967751881</v>
      </c>
      <c r="D190" s="1">
        <v>22.209100130245822</v>
      </c>
      <c r="E190" t="s">
        <v>9</v>
      </c>
    </row>
    <row r="191" spans="1:5" x14ac:dyDescent="0.2">
      <c r="A191" t="s">
        <v>1</v>
      </c>
      <c r="B191">
        <v>40</v>
      </c>
      <c r="C191" s="1">
        <v>545.70612870676416</v>
      </c>
      <c r="D191" s="1">
        <v>20.207556038866315</v>
      </c>
      <c r="E191" t="s">
        <v>9</v>
      </c>
    </row>
    <row r="192" spans="1:5" x14ac:dyDescent="0.2">
      <c r="A192" t="s">
        <v>1</v>
      </c>
      <c r="B192">
        <v>29</v>
      </c>
      <c r="C192" s="1">
        <v>545.71637200779514</v>
      </c>
      <c r="D192" s="1">
        <v>24.682577239281912</v>
      </c>
      <c r="E192" t="s">
        <v>9</v>
      </c>
    </row>
    <row r="193" spans="1:5" x14ac:dyDescent="0.2">
      <c r="A193" t="s">
        <v>1</v>
      </c>
      <c r="B193">
        <v>36</v>
      </c>
      <c r="C193" s="1">
        <v>564.79669779885194</v>
      </c>
      <c r="D193" s="1">
        <v>10.266922216704156</v>
      </c>
      <c r="E193" t="s">
        <v>9</v>
      </c>
    </row>
    <row r="194" spans="1:5" x14ac:dyDescent="0.2">
      <c r="A194" t="s">
        <v>1</v>
      </c>
      <c r="B194">
        <v>15</v>
      </c>
      <c r="C194" s="1">
        <v>572.96387590487393</v>
      </c>
      <c r="D194" s="1">
        <v>17.213788659597803</v>
      </c>
      <c r="E194" t="s">
        <v>9</v>
      </c>
    </row>
    <row r="195" spans="1:5" x14ac:dyDescent="0.2">
      <c r="A195" t="s">
        <v>1</v>
      </c>
      <c r="B195">
        <v>22</v>
      </c>
      <c r="C195" s="1">
        <v>579.1969941207476</v>
      </c>
      <c r="D195" s="1">
        <v>19.287224221993647</v>
      </c>
      <c r="E195" t="s">
        <v>9</v>
      </c>
    </row>
    <row r="196" spans="1:5" x14ac:dyDescent="0.2">
      <c r="A196" t="s">
        <v>1</v>
      </c>
      <c r="B196">
        <v>12</v>
      </c>
      <c r="C196" s="1">
        <v>584.7236694004082</v>
      </c>
      <c r="D196" s="1">
        <v>8.7054670220550996</v>
      </c>
      <c r="E196" t="s">
        <v>9</v>
      </c>
    </row>
    <row r="197" spans="1:5" x14ac:dyDescent="0.2">
      <c r="A197" t="s">
        <v>1</v>
      </c>
      <c r="B197">
        <v>51</v>
      </c>
      <c r="C197" s="1">
        <v>586.60967126931018</v>
      </c>
      <c r="D197" s="1">
        <v>14.677020620769859</v>
      </c>
      <c r="E197" t="s">
        <v>9</v>
      </c>
    </row>
    <row r="198" spans="1:5" x14ac:dyDescent="0.2">
      <c r="A198" t="s">
        <v>1</v>
      </c>
      <c r="B198">
        <v>31</v>
      </c>
      <c r="C198" s="1">
        <v>589.65005976824148</v>
      </c>
      <c r="D198" s="1">
        <v>14.976340327050231</v>
      </c>
      <c r="E198" t="s">
        <v>9</v>
      </c>
    </row>
    <row r="199" spans="1:5" x14ac:dyDescent="0.2">
      <c r="A199" t="s">
        <v>1</v>
      </c>
      <c r="B199">
        <v>23</v>
      </c>
      <c r="C199" s="1">
        <v>590.64390709381382</v>
      </c>
      <c r="D199" s="1">
        <v>25.344909671009678</v>
      </c>
      <c r="E199" t="s">
        <v>9</v>
      </c>
    </row>
    <row r="200" spans="1:5" x14ac:dyDescent="0.2">
      <c r="A200" t="s">
        <v>1</v>
      </c>
      <c r="B200">
        <v>5</v>
      </c>
      <c r="C200" s="1">
        <v>596.1211299803831</v>
      </c>
      <c r="D200" s="1">
        <v>17.140457308297265</v>
      </c>
      <c r="E200" t="s">
        <v>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2A32-1741-AB49-820E-D779BC5B72A5}">
  <dimension ref="A1:G15"/>
  <sheetViews>
    <sheetView workbookViewId="0">
      <selection activeCell="N42" sqref="N42"/>
    </sheetView>
  </sheetViews>
  <sheetFormatPr baseColWidth="10" defaultRowHeight="15" x14ac:dyDescent="0.2"/>
  <sheetData>
    <row r="1" spans="1:7" x14ac:dyDescent="0.2">
      <c r="A1" t="s">
        <v>90</v>
      </c>
    </row>
    <row r="3" spans="1:7" ht="16" thickBot="1" x14ac:dyDescent="0.25">
      <c r="A3" t="s">
        <v>91</v>
      </c>
    </row>
    <row r="4" spans="1:7" x14ac:dyDescent="0.2">
      <c r="A4" s="9" t="s">
        <v>92</v>
      </c>
      <c r="B4" s="9" t="s">
        <v>93</v>
      </c>
      <c r="C4" s="9" t="s">
        <v>94</v>
      </c>
      <c r="D4" s="9" t="s">
        <v>95</v>
      </c>
      <c r="E4" s="9" t="s">
        <v>58</v>
      </c>
    </row>
    <row r="5" spans="1:7" x14ac:dyDescent="0.2">
      <c r="A5" s="7" t="s">
        <v>12</v>
      </c>
      <c r="B5" s="7">
        <v>27</v>
      </c>
      <c r="C5" s="7">
        <v>690.6329164023374</v>
      </c>
      <c r="D5" s="7">
        <v>25.578996903790273</v>
      </c>
      <c r="E5" s="7">
        <v>31.266248088483106</v>
      </c>
    </row>
    <row r="6" spans="1:7" x14ac:dyDescent="0.2">
      <c r="A6" s="7" t="s">
        <v>13</v>
      </c>
      <c r="B6" s="7">
        <v>39</v>
      </c>
      <c r="C6" s="7">
        <v>948.0172964833547</v>
      </c>
      <c r="D6" s="7">
        <v>24.308135807265504</v>
      </c>
      <c r="E6" s="7">
        <v>25.33352090525554</v>
      </c>
    </row>
    <row r="7" spans="1:7" ht="16" thickBot="1" x14ac:dyDescent="0.25">
      <c r="A7" s="8" t="s">
        <v>9</v>
      </c>
      <c r="B7" s="8">
        <v>34</v>
      </c>
      <c r="C7" s="8">
        <v>933.5506815147105</v>
      </c>
      <c r="D7" s="8">
        <v>27.457372985726778</v>
      </c>
      <c r="E7" s="8">
        <v>34.416667811216364</v>
      </c>
    </row>
    <row r="10" spans="1:7" ht="16" thickBot="1" x14ac:dyDescent="0.25">
      <c r="A10" t="s">
        <v>74</v>
      </c>
    </row>
    <row r="11" spans="1:7" x14ac:dyDescent="0.2">
      <c r="A11" s="9" t="s">
        <v>96</v>
      </c>
      <c r="B11" s="9" t="s">
        <v>79</v>
      </c>
      <c r="C11" s="9" t="s">
        <v>62</v>
      </c>
      <c r="D11" s="9" t="s">
        <v>80</v>
      </c>
      <c r="E11" s="9" t="s">
        <v>81</v>
      </c>
      <c r="F11" s="9" t="s">
        <v>84</v>
      </c>
      <c r="G11" s="9" t="s">
        <v>97</v>
      </c>
    </row>
    <row r="12" spans="1:7" x14ac:dyDescent="0.2">
      <c r="A12" s="7" t="s">
        <v>98</v>
      </c>
      <c r="B12" s="7">
        <v>180.90527275163276</v>
      </c>
      <c r="C12" s="7">
        <v>2</v>
      </c>
      <c r="D12" s="7">
        <v>90.452636375816382</v>
      </c>
      <c r="E12" s="7">
        <v>3.0136936239028111</v>
      </c>
      <c r="F12" s="7">
        <v>5.373086396532023E-2</v>
      </c>
      <c r="G12" s="7">
        <v>3.090186675154857</v>
      </c>
    </row>
    <row r="13" spans="1:7" x14ac:dyDescent="0.2">
      <c r="A13" s="7" t="s">
        <v>99</v>
      </c>
      <c r="B13" s="7">
        <v>2911.3462824703975</v>
      </c>
      <c r="C13" s="7">
        <v>97</v>
      </c>
      <c r="D13" s="7">
        <v>30.013879200725746</v>
      </c>
      <c r="E13" s="7"/>
      <c r="F13" s="7"/>
      <c r="G13" s="7"/>
    </row>
    <row r="14" spans="1:7" x14ac:dyDescent="0.2">
      <c r="A14" s="7"/>
      <c r="B14" s="7"/>
      <c r="C14" s="7"/>
      <c r="D14" s="7"/>
      <c r="E14" s="7"/>
      <c r="F14" s="7"/>
      <c r="G14" s="7"/>
    </row>
    <row r="15" spans="1:7" ht="16" thickBot="1" x14ac:dyDescent="0.25">
      <c r="A15" s="8" t="s">
        <v>77</v>
      </c>
      <c r="B15" s="8">
        <v>3092.2515552220302</v>
      </c>
      <c r="C15" s="8">
        <v>99</v>
      </c>
      <c r="D15" s="8"/>
      <c r="E15" s="8"/>
      <c r="F15" s="8"/>
      <c r="G15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2439-751C-2B42-9884-B291C1439BA5}">
  <dimension ref="A1:M31"/>
  <sheetViews>
    <sheetView tabSelected="1" workbookViewId="0">
      <selection activeCell="M36" sqref="M36"/>
    </sheetView>
  </sheetViews>
  <sheetFormatPr baseColWidth="10" defaultRowHeight="15" x14ac:dyDescent="0.2"/>
  <cols>
    <col min="1" max="1" width="20.83203125" customWidth="1"/>
    <col min="8" max="8" width="18.6640625" customWidth="1"/>
  </cols>
  <sheetData>
    <row r="1" spans="2:11" ht="80" x14ac:dyDescent="0.2">
      <c r="C1" t="s">
        <v>16</v>
      </c>
      <c r="D1" s="3" t="s">
        <v>17</v>
      </c>
    </row>
    <row r="2" spans="2:11" ht="16" x14ac:dyDescent="0.2">
      <c r="B2" t="s">
        <v>18</v>
      </c>
      <c r="C2" t="s">
        <v>19</v>
      </c>
      <c r="D2">
        <v>5</v>
      </c>
      <c r="H2" s="4" t="s">
        <v>20</v>
      </c>
      <c r="I2" t="s">
        <v>19</v>
      </c>
      <c r="J2" t="s">
        <v>21</v>
      </c>
      <c r="K2" t="s">
        <v>22</v>
      </c>
    </row>
    <row r="3" spans="2:11" x14ac:dyDescent="0.2">
      <c r="B3" t="s">
        <v>23</v>
      </c>
      <c r="C3" t="s">
        <v>19</v>
      </c>
      <c r="D3">
        <v>3</v>
      </c>
      <c r="I3">
        <v>5</v>
      </c>
      <c r="J3">
        <v>3</v>
      </c>
      <c r="K3">
        <v>1</v>
      </c>
    </row>
    <row r="4" spans="2:11" x14ac:dyDescent="0.2">
      <c r="B4" t="s">
        <v>24</v>
      </c>
      <c r="C4" t="s">
        <v>19</v>
      </c>
      <c r="D4">
        <v>2</v>
      </c>
      <c r="I4">
        <v>3</v>
      </c>
      <c r="J4">
        <v>5</v>
      </c>
      <c r="K4">
        <v>1</v>
      </c>
    </row>
    <row r="5" spans="2:11" x14ac:dyDescent="0.2">
      <c r="B5" t="s">
        <v>25</v>
      </c>
      <c r="C5" t="s">
        <v>19</v>
      </c>
      <c r="D5">
        <v>4</v>
      </c>
      <c r="I5">
        <v>2</v>
      </c>
      <c r="J5">
        <v>1</v>
      </c>
      <c r="K5">
        <v>3</v>
      </c>
    </row>
    <row r="6" spans="2:11" x14ac:dyDescent="0.2">
      <c r="B6" t="s">
        <v>26</v>
      </c>
      <c r="C6" t="s">
        <v>19</v>
      </c>
      <c r="D6">
        <v>5</v>
      </c>
      <c r="I6">
        <v>4</v>
      </c>
      <c r="J6">
        <v>2</v>
      </c>
      <c r="K6">
        <v>2</v>
      </c>
    </row>
    <row r="7" spans="2:11" x14ac:dyDescent="0.2">
      <c r="B7" t="s">
        <v>27</v>
      </c>
      <c r="C7" t="s">
        <v>19</v>
      </c>
      <c r="D7">
        <v>5</v>
      </c>
      <c r="I7">
        <v>5</v>
      </c>
      <c r="J7">
        <v>1</v>
      </c>
      <c r="K7">
        <v>3</v>
      </c>
    </row>
    <row r="8" spans="2:11" x14ac:dyDescent="0.2">
      <c r="B8" t="s">
        <v>28</v>
      </c>
      <c r="C8" t="s">
        <v>19</v>
      </c>
      <c r="D8">
        <v>2</v>
      </c>
      <c r="I8">
        <v>5</v>
      </c>
      <c r="J8">
        <v>4</v>
      </c>
      <c r="K8">
        <v>1</v>
      </c>
    </row>
    <row r="9" spans="2:11" x14ac:dyDescent="0.2">
      <c r="B9" t="s">
        <v>29</v>
      </c>
      <c r="C9" t="s">
        <v>21</v>
      </c>
      <c r="D9">
        <v>3</v>
      </c>
      <c r="I9">
        <v>2</v>
      </c>
      <c r="J9">
        <v>2</v>
      </c>
      <c r="K9">
        <v>1</v>
      </c>
    </row>
    <row r="10" spans="2:11" x14ac:dyDescent="0.2">
      <c r="B10" t="s">
        <v>30</v>
      </c>
      <c r="C10" t="s">
        <v>21</v>
      </c>
      <c r="D10">
        <v>5</v>
      </c>
      <c r="K10">
        <v>1</v>
      </c>
    </row>
    <row r="11" spans="2:11" x14ac:dyDescent="0.2">
      <c r="B11" t="s">
        <v>31</v>
      </c>
      <c r="C11" t="s">
        <v>21</v>
      </c>
      <c r="D11">
        <v>1</v>
      </c>
    </row>
    <row r="12" spans="2:11" x14ac:dyDescent="0.2">
      <c r="B12" t="s">
        <v>32</v>
      </c>
      <c r="C12" t="s">
        <v>21</v>
      </c>
      <c r="D12">
        <v>2</v>
      </c>
    </row>
    <row r="13" spans="2:11" ht="16" x14ac:dyDescent="0.2">
      <c r="B13" t="s">
        <v>33</v>
      </c>
      <c r="C13" t="s">
        <v>21</v>
      </c>
      <c r="D13">
        <v>1</v>
      </c>
      <c r="H13" s="4" t="s">
        <v>34</v>
      </c>
      <c r="I13" t="s">
        <v>19</v>
      </c>
      <c r="J13" t="s">
        <v>21</v>
      </c>
      <c r="K13" t="s">
        <v>22</v>
      </c>
    </row>
    <row r="14" spans="2:11" x14ac:dyDescent="0.2">
      <c r="B14" t="s">
        <v>35</v>
      </c>
      <c r="C14" t="s">
        <v>21</v>
      </c>
      <c r="D14">
        <v>4</v>
      </c>
      <c r="I14">
        <f>_xlfn.RANK.AVG(I3,I3:K10,1)</f>
        <v>20.5</v>
      </c>
      <c r="J14">
        <f>_xlfn.RANK.AVG(J3,I3:K10,1)</f>
        <v>14.5</v>
      </c>
      <c r="K14">
        <f>_xlfn.RANK.AVG(K3,I3:K10,1)</f>
        <v>4</v>
      </c>
    </row>
    <row r="15" spans="2:11" x14ac:dyDescent="0.2">
      <c r="B15" t="s">
        <v>36</v>
      </c>
      <c r="C15" t="s">
        <v>21</v>
      </c>
      <c r="D15">
        <v>2</v>
      </c>
      <c r="I15">
        <f>_xlfn.RANK.AVG(I4,I3:K10,1)</f>
        <v>14.5</v>
      </c>
      <c r="J15">
        <f>_xlfn.RANK.AVG(J4,I3:K10,1)</f>
        <v>20.5</v>
      </c>
      <c r="K15">
        <f>_xlfn.RANK.AVG(K4,I3:K10,1)</f>
        <v>4</v>
      </c>
    </row>
    <row r="16" spans="2:11" x14ac:dyDescent="0.2">
      <c r="B16" t="s">
        <v>37</v>
      </c>
      <c r="C16" t="s">
        <v>22</v>
      </c>
      <c r="D16">
        <v>1</v>
      </c>
      <c r="I16">
        <f>_xlfn.RANK.AVG(I5,I3:K10,1)</f>
        <v>10</v>
      </c>
      <c r="J16">
        <f>_xlfn.RANK.AVG(J5,I3:K10,1)</f>
        <v>4</v>
      </c>
      <c r="K16">
        <f>_xlfn.RANK.AVG(K5,I3:K10,1)</f>
        <v>14.5</v>
      </c>
    </row>
    <row r="17" spans="1:13" x14ac:dyDescent="0.2">
      <c r="B17" t="s">
        <v>38</v>
      </c>
      <c r="C17" t="s">
        <v>22</v>
      </c>
      <c r="D17">
        <v>1</v>
      </c>
      <c r="I17">
        <f>_xlfn.RANK.AVG(I6,I3:K10,1)</f>
        <v>17.5</v>
      </c>
      <c r="J17">
        <f>_xlfn.RANK.AVG(J6,I3:K10,1)</f>
        <v>10</v>
      </c>
      <c r="K17">
        <f>_xlfn.RANK.AVG(K6,I3:K10,1)</f>
        <v>10</v>
      </c>
    </row>
    <row r="18" spans="1:13" x14ac:dyDescent="0.2">
      <c r="B18" t="s">
        <v>39</v>
      </c>
      <c r="C18" t="s">
        <v>22</v>
      </c>
      <c r="D18">
        <v>4</v>
      </c>
      <c r="I18">
        <f>_xlfn.RANK.AVG(I7,I3:K10,1)</f>
        <v>20.5</v>
      </c>
      <c r="J18">
        <f>_xlfn.RANK.AVG(J7,I3:K10,1)</f>
        <v>4</v>
      </c>
      <c r="K18">
        <f>_xlfn.RANK.AVG(K7,I3:K10,1)</f>
        <v>14.5</v>
      </c>
    </row>
    <row r="19" spans="1:13" x14ac:dyDescent="0.2">
      <c r="B19" t="s">
        <v>40</v>
      </c>
      <c r="C19" t="s">
        <v>22</v>
      </c>
      <c r="D19">
        <v>2</v>
      </c>
      <c r="I19">
        <f>_xlfn.RANK.AVG(I8,I3:K10,1)</f>
        <v>20.5</v>
      </c>
      <c r="J19">
        <f>_xlfn.RANK.AVG(J8,I3:K10,1)</f>
        <v>17.5</v>
      </c>
      <c r="K19">
        <f>_xlfn.RANK.AVG(K8,I3:K10,1)</f>
        <v>4</v>
      </c>
    </row>
    <row r="20" spans="1:13" x14ac:dyDescent="0.2">
      <c r="B20" t="s">
        <v>41</v>
      </c>
      <c r="C20" t="s">
        <v>22</v>
      </c>
      <c r="D20">
        <v>3</v>
      </c>
      <c r="I20">
        <f>_xlfn.RANK.AVG(I9,I3:K10,1)</f>
        <v>10</v>
      </c>
      <c r="J20">
        <f>_xlfn.RANK.AVG(J9,I3:K10,1)</f>
        <v>10</v>
      </c>
      <c r="K20">
        <f>_xlfn.RANK.AVG(K9,I3:K10,1)</f>
        <v>4</v>
      </c>
    </row>
    <row r="21" spans="1:13" x14ac:dyDescent="0.2">
      <c r="B21" t="s">
        <v>42</v>
      </c>
      <c r="C21" t="s">
        <v>22</v>
      </c>
      <c r="D21">
        <v>1</v>
      </c>
      <c r="K21">
        <f>_xlfn.RANK.AVG(K10,I3:K10,1)</f>
        <v>4</v>
      </c>
    </row>
    <row r="22" spans="1:13" ht="16" x14ac:dyDescent="0.2">
      <c r="B22" t="s">
        <v>43</v>
      </c>
      <c r="C22" t="s">
        <v>22</v>
      </c>
      <c r="D22">
        <v>1</v>
      </c>
      <c r="I22">
        <f>SUM(I14:I21)</f>
        <v>113.5</v>
      </c>
      <c r="J22">
        <f t="shared" ref="J22:K22" si="0">SUM(J14:J21)</f>
        <v>80.5</v>
      </c>
      <c r="K22">
        <f t="shared" si="0"/>
        <v>59</v>
      </c>
      <c r="L22">
        <f>SUM(I22:K22)</f>
        <v>253</v>
      </c>
      <c r="M22" s="4" t="s">
        <v>44</v>
      </c>
    </row>
    <row r="23" spans="1:13" ht="16" x14ac:dyDescent="0.2">
      <c r="B23" t="s">
        <v>45</v>
      </c>
      <c r="C23" t="s">
        <v>22</v>
      </c>
      <c r="D23">
        <v>1</v>
      </c>
      <c r="I23">
        <v>7</v>
      </c>
      <c r="J23">
        <v>7</v>
      </c>
      <c r="K23">
        <v>8</v>
      </c>
      <c r="L23">
        <f t="shared" ref="L23:L24" si="1">SUM(I23:K23)</f>
        <v>22</v>
      </c>
      <c r="M23" s="4" t="s">
        <v>46</v>
      </c>
    </row>
    <row r="24" spans="1:13" ht="16" x14ac:dyDescent="0.2">
      <c r="I24">
        <f t="shared" ref="I24:J24" si="2">(I22*I22) / I23</f>
        <v>1840.3214285714287</v>
      </c>
      <c r="J24">
        <f t="shared" si="2"/>
        <v>925.75</v>
      </c>
      <c r="K24">
        <f>(K22*K22) / K23</f>
        <v>435.125</v>
      </c>
      <c r="L24">
        <f t="shared" si="1"/>
        <v>3201.1964285714284</v>
      </c>
      <c r="M24" s="4" t="s">
        <v>47</v>
      </c>
    </row>
    <row r="25" spans="1:13" ht="16" x14ac:dyDescent="0.2">
      <c r="L25">
        <f>12/(L23*(L23+1))*L24-3*(L23+1)</f>
        <v>6.9177018633540257</v>
      </c>
      <c r="M25" s="4" t="s">
        <v>48</v>
      </c>
    </row>
    <row r="26" spans="1:13" ht="16" x14ac:dyDescent="0.2">
      <c r="L26">
        <v>2</v>
      </c>
      <c r="M26" s="4" t="s">
        <v>49</v>
      </c>
    </row>
    <row r="27" spans="1:13" ht="16" x14ac:dyDescent="0.2">
      <c r="L27" s="5">
        <f>_xlfn.CHISQ.DIST.RT(L25,L26)</f>
        <v>3.1465897719520797E-2</v>
      </c>
      <c r="M27" s="4" t="s">
        <v>50</v>
      </c>
    </row>
    <row r="28" spans="1:13" ht="16" x14ac:dyDescent="0.2">
      <c r="L28">
        <v>0.05</v>
      </c>
      <c r="M28" s="4" t="s">
        <v>51</v>
      </c>
    </row>
    <row r="31" spans="1:13" ht="29" x14ac:dyDescent="0.35">
      <c r="A31" s="6" t="s">
        <v>52</v>
      </c>
      <c r="B31" s="6" t="s">
        <v>53</v>
      </c>
      <c r="C31" s="6"/>
      <c r="D31" s="6"/>
      <c r="E31" s="6"/>
      <c r="F31" s="6"/>
      <c r="G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Anglerfish data</vt:lpstr>
      <vt:lpstr>Angler_Linear_Regression</vt:lpstr>
      <vt:lpstr>regression results</vt:lpstr>
      <vt:lpstr>Angler_T_Test</vt:lpstr>
      <vt:lpstr>t-test results</vt:lpstr>
      <vt:lpstr>Angler ANOVA</vt:lpstr>
      <vt:lpstr> Angler anova results</vt:lpstr>
      <vt:lpstr>Kruskal_Wallis</vt:lpstr>
    </vt:vector>
  </TitlesOfParts>
  <Company>UW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Bond</dc:creator>
  <cp:lastModifiedBy>Luke Tornabene</cp:lastModifiedBy>
  <dcterms:created xsi:type="dcterms:W3CDTF">2011-11-14T23:25:46Z</dcterms:created>
  <dcterms:modified xsi:type="dcterms:W3CDTF">2023-02-07T21:36:07Z</dcterms:modified>
</cp:coreProperties>
</file>